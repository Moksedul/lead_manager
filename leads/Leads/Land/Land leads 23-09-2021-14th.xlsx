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ocs\Leads\Land\"/>
    </mc:Choice>
  </mc:AlternateContent>
  <bookViews>
    <workbookView xWindow="0" yWindow="0" windowWidth="20490" windowHeight="7905"/>
  </bookViews>
  <sheets>
    <sheet name="leads" sheetId="1" r:id="rId1"/>
    <sheet name="Distribution" sheetId="3" r:id="rId2"/>
  </sheets>
  <calcPr calcId="152511"/>
</workbook>
</file>

<file path=xl/calcChain.xml><?xml version="1.0" encoding="utf-8"?>
<calcChain xmlns="http://schemas.openxmlformats.org/spreadsheetml/2006/main">
  <c r="D23" i="3" l="1"/>
  <c r="D24" i="3"/>
  <c r="D4" i="3" l="1"/>
  <c r="D5" i="3"/>
  <c r="D3" i="3"/>
  <c r="D8" i="3"/>
  <c r="D9" i="3"/>
  <c r="D7" i="3"/>
  <c r="D20" i="3"/>
  <c r="D21" i="3"/>
  <c r="D19" i="3"/>
  <c r="D14" i="3"/>
  <c r="D15" i="3"/>
  <c r="D16" i="3"/>
  <c r="D17" i="3"/>
  <c r="D13" i="3"/>
  <c r="B26" i="3"/>
  <c r="H19" i="3" l="1"/>
  <c r="D26" i="3" l="1"/>
  <c r="G19" i="3" s="1"/>
</calcChain>
</file>

<file path=xl/sharedStrings.xml><?xml version="1.0" encoding="utf-8"?>
<sst xmlns="http://schemas.openxmlformats.org/spreadsheetml/2006/main" count="588" uniqueCount="325">
  <si>
    <t>full_name</t>
  </si>
  <si>
    <t>phone_number</t>
  </si>
  <si>
    <t>email</t>
  </si>
  <si>
    <t>distribution_no</t>
  </si>
  <si>
    <t>interested_in</t>
  </si>
  <si>
    <t>assigned_to</t>
  </si>
  <si>
    <t>added_by</t>
  </si>
  <si>
    <t>lead_source</t>
  </si>
  <si>
    <t>zabed</t>
  </si>
  <si>
    <t>Facebook Ad</t>
  </si>
  <si>
    <t>Team Name</t>
  </si>
  <si>
    <t>Leads</t>
  </si>
  <si>
    <t>Dulal</t>
  </si>
  <si>
    <t>Zaki</t>
  </si>
  <si>
    <t>Shahinoor</t>
  </si>
  <si>
    <t>land</t>
  </si>
  <si>
    <t>Alamgir Hossain</t>
  </si>
  <si>
    <t>Nasir Uddin</t>
  </si>
  <si>
    <t>Habibur Rahman</t>
  </si>
  <si>
    <t>Officer Name</t>
  </si>
  <si>
    <t>Hafizur Rahman</t>
  </si>
  <si>
    <t>Shamim Hawlader</t>
  </si>
  <si>
    <t>Zabedur Rahman</t>
  </si>
  <si>
    <t>Atikur Rahman</t>
  </si>
  <si>
    <t>Nazmul Huda</t>
  </si>
  <si>
    <t>Abu Yousuf</t>
  </si>
  <si>
    <t>SKM Tanvir</t>
  </si>
  <si>
    <t>Hossain Kishor</t>
  </si>
  <si>
    <t>Jahedul Alam</t>
  </si>
  <si>
    <t>Khalequzzaman</t>
  </si>
  <si>
    <t>Rahmatullah</t>
  </si>
  <si>
    <t>Khokon Islam</t>
  </si>
  <si>
    <t>Sumon</t>
  </si>
  <si>
    <t>Atikul</t>
  </si>
  <si>
    <t>MA Sagar</t>
  </si>
  <si>
    <t>Zaki Mahmud</t>
  </si>
  <si>
    <t>Shahinoor Islam</t>
  </si>
  <si>
    <t>Abdul Baten</t>
  </si>
  <si>
    <t>AKM Zabed</t>
  </si>
  <si>
    <t xml:space="preserve">Zabedur </t>
  </si>
  <si>
    <t>Bodruddroza Rushad</t>
  </si>
  <si>
    <t>Habib</t>
  </si>
  <si>
    <t>Abdur Rouf Dulal</t>
  </si>
  <si>
    <t>Atik</t>
  </si>
  <si>
    <t>Sagar</t>
  </si>
  <si>
    <t>ID</t>
  </si>
  <si>
    <t>Jahangir Alam</t>
  </si>
  <si>
    <t>Mohammad Ali</t>
  </si>
  <si>
    <t>Mowdud</t>
  </si>
  <si>
    <t>Md Obaidur Rahman</t>
  </si>
  <si>
    <t>precision.inspectionltd@gmail.com</t>
  </si>
  <si>
    <t>+8801977730355</t>
  </si>
  <si>
    <t>Moni Ahmed</t>
  </si>
  <si>
    <t>moniahmed2011@gmail.com</t>
  </si>
  <si>
    <t>+88001713113647</t>
  </si>
  <si>
    <t>Shahidullah Kaiser</t>
  </si>
  <si>
    <t>shahidullahkaisarshahid66766@gmail.com</t>
  </si>
  <si>
    <t>+8801911342585</t>
  </si>
  <si>
    <t>MD Khoshed Alam</t>
  </si>
  <si>
    <t>korsedhalam@gmail.com</t>
  </si>
  <si>
    <t>+8801722071455</t>
  </si>
  <si>
    <t>Md Abul Basar</t>
  </si>
  <si>
    <t>mdabulbasar052@gmail.com</t>
  </si>
  <si>
    <t>+8801712153366</t>
  </si>
  <si>
    <t>Abu Sayeed</t>
  </si>
  <si>
    <t>hasanmdrakib2018@gmail.com</t>
  </si>
  <si>
    <t>+8801715269057</t>
  </si>
  <si>
    <t>Mohammad Mahabub Islam</t>
  </si>
  <si>
    <t>musfiqagro@gmail.com</t>
  </si>
  <si>
    <t>+8801621357808</t>
  </si>
  <si>
    <t>alamgir01968@gmail.com</t>
  </si>
  <si>
    <t>+8801400216289</t>
  </si>
  <si>
    <t>Md Mostofa Kamal</t>
  </si>
  <si>
    <t>mdmostafakamal15049@gmail.com</t>
  </si>
  <si>
    <t>+8801948261715</t>
  </si>
  <si>
    <t>Këbríà Ráj KR</t>
  </si>
  <si>
    <t>jisanahmed063@outlook.com</t>
  </si>
  <si>
    <t>+8801862402591</t>
  </si>
  <si>
    <t>MD Aslam Khan</t>
  </si>
  <si>
    <t>hmdaslam55@gmail.com</t>
  </si>
  <si>
    <t>+8801636636240</t>
  </si>
  <si>
    <t>Abdus Salam</t>
  </si>
  <si>
    <t>arafat.abid123go@gmail.com</t>
  </si>
  <si>
    <t>+8801860653973</t>
  </si>
  <si>
    <t>Md Sultan</t>
  </si>
  <si>
    <t>mdsultan57mahmud@gmail.com</t>
  </si>
  <si>
    <t>+8801944215680</t>
  </si>
  <si>
    <t>Ruhol Amin</t>
  </si>
  <si>
    <t>ruhola841@gmail.com</t>
  </si>
  <si>
    <t>+8801741948537</t>
  </si>
  <si>
    <t>Sorowar Jahan Sohel</t>
  </si>
  <si>
    <t>sohelmph@gmail.com</t>
  </si>
  <si>
    <t>+88001717912355</t>
  </si>
  <si>
    <t>Sakhawat Hossain</t>
  </si>
  <si>
    <t>sakhawatmba@gmail.com</t>
  </si>
  <si>
    <t>+8801712586301</t>
  </si>
  <si>
    <t>Zillani Abdul Kader</t>
  </si>
  <si>
    <t>zillanihossaain@gmail.comlurw</t>
  </si>
  <si>
    <t>+8801905877881</t>
  </si>
  <si>
    <t>Fawzia Shahin</t>
  </si>
  <si>
    <t>fawziashahin@gmail.com</t>
  </si>
  <si>
    <t>+8801672443565</t>
  </si>
  <si>
    <t>Md Nurul Islam</t>
  </si>
  <si>
    <t>nurmaih43@gmail.com</t>
  </si>
  <si>
    <t>+8801719089312</t>
  </si>
  <si>
    <t>Nurul Islam</t>
  </si>
  <si>
    <t>akmnurulislam18@gmail.com</t>
  </si>
  <si>
    <t>+88001556330963</t>
  </si>
  <si>
    <t>Mosharref Hossain</t>
  </si>
  <si>
    <t>hossainmosharref3@gmail.com</t>
  </si>
  <si>
    <t>+8801728491388</t>
  </si>
  <si>
    <t>ma8628071@gmail.com</t>
  </si>
  <si>
    <t>+8801827948263</t>
  </si>
  <si>
    <t>Md Shabuddin</t>
  </si>
  <si>
    <t>shabuddinshabuddin325@gmail.com</t>
  </si>
  <si>
    <t>+8801971213804</t>
  </si>
  <si>
    <t>Zakir Hossain</t>
  </si>
  <si>
    <t>zakirvictory79@gmail.com</t>
  </si>
  <si>
    <t>+96590029015</t>
  </si>
  <si>
    <t>Hamida Ahmed</t>
  </si>
  <si>
    <t>hamida.ahmed24041956@gmail.com</t>
  </si>
  <si>
    <t>+8801928203773</t>
  </si>
  <si>
    <t>Chand Sultana Khanam</t>
  </si>
  <si>
    <t>chandsultanakhanam49@gmail.com</t>
  </si>
  <si>
    <t>+8801718078676</t>
  </si>
  <si>
    <t>Mohammad Kamal Hossain</t>
  </si>
  <si>
    <t>mdkamalhossain858@gmail.com</t>
  </si>
  <si>
    <t>+8801920789434</t>
  </si>
  <si>
    <t>Mohiuddin</t>
  </si>
  <si>
    <t>mohiuddin@gmail.com</t>
  </si>
  <si>
    <t>+8801755636344</t>
  </si>
  <si>
    <t>Saud Asrafi</t>
  </si>
  <si>
    <t>mdsaudsarafi.nu@gmail.com</t>
  </si>
  <si>
    <t>+8801922932831</t>
  </si>
  <si>
    <t>Al Mamun</t>
  </si>
  <si>
    <t>mamun118335@gmail.com</t>
  </si>
  <si>
    <t>+8801837118335</t>
  </si>
  <si>
    <t>AR Sohel</t>
  </si>
  <si>
    <t>sohelkhan67000@gmail.com</t>
  </si>
  <si>
    <t>+8801762057540</t>
  </si>
  <si>
    <t>Jhillika Das</t>
  </si>
  <si>
    <t>jhillikadas@gmail.com</t>
  </si>
  <si>
    <t>+8801945671337</t>
  </si>
  <si>
    <t>Mduzzal Hossain</t>
  </si>
  <si>
    <t>uzzalhlfs@gmail.com</t>
  </si>
  <si>
    <t>+88001777704495</t>
  </si>
  <si>
    <t>Jesmin Akter</t>
  </si>
  <si>
    <t>jesminakter67890@gmail.com</t>
  </si>
  <si>
    <t>+8801912198655</t>
  </si>
  <si>
    <t>Md. Alhaz Uddin Bhuiyan</t>
  </si>
  <si>
    <t>ffalhazuddinbhuiyanbhuiyan@gmail.com</t>
  </si>
  <si>
    <t>+88001915635390</t>
  </si>
  <si>
    <t>এম ডি রাজা রাজা</t>
  </si>
  <si>
    <t>pirojpur346@gmail.com</t>
  </si>
  <si>
    <t>+88001316979494</t>
  </si>
  <si>
    <t>সুমন মিয়া সুমন মিয়া</t>
  </si>
  <si>
    <t>sumonshass10@gmail.com</t>
  </si>
  <si>
    <t>+8801754477883</t>
  </si>
  <si>
    <t>Sagor Islam</t>
  </si>
  <si>
    <t>01791591729shagor@gMail.coo</t>
  </si>
  <si>
    <t>রফিকুল ভান্ডারী</t>
  </si>
  <si>
    <t>imdrofikul392@gmail.com</t>
  </si>
  <si>
    <t>+88001771420021</t>
  </si>
  <si>
    <t>Sume Akter</t>
  </si>
  <si>
    <t>kshoil461@gmail.com</t>
  </si>
  <si>
    <t>+8801979411708</t>
  </si>
  <si>
    <t>Sarker AMajid</t>
  </si>
  <si>
    <t>sarkerabdulmajid@gmail.com</t>
  </si>
  <si>
    <t>+8801712285111</t>
  </si>
  <si>
    <t>Dipu</t>
  </si>
  <si>
    <t>hdipu70@gmail.com</t>
  </si>
  <si>
    <t>+88001724569749</t>
  </si>
  <si>
    <t>Mohammad Sohag</t>
  </si>
  <si>
    <t>sohagmolla565@gmail.com</t>
  </si>
  <si>
    <t>+8801743338269</t>
  </si>
  <si>
    <t>Shourov Hossain</t>
  </si>
  <si>
    <t>anto61anto62@gmail.com</t>
  </si>
  <si>
    <t>+8801715797503</t>
  </si>
  <si>
    <t>jahangir10@gmail.com</t>
  </si>
  <si>
    <t>+8801912105058</t>
  </si>
  <si>
    <t>Shahid Islam</t>
  </si>
  <si>
    <t>drshahidul6@gmail.com</t>
  </si>
  <si>
    <t>+8801756214139</t>
  </si>
  <si>
    <t>Shahinor islam</t>
  </si>
  <si>
    <t>ziaulhoque777@gmail.com</t>
  </si>
  <si>
    <t>+88001721980514</t>
  </si>
  <si>
    <t>Md.Faried Ahmed Asif</t>
  </si>
  <si>
    <t>asifpriya526@gmail.com</t>
  </si>
  <si>
    <t>+8801922888623</t>
  </si>
  <si>
    <t>Ashik Parvez</t>
  </si>
  <si>
    <t>ashikparvez551@gmail.com</t>
  </si>
  <si>
    <t>+8801742286088</t>
  </si>
  <si>
    <t>Sajjad Hossen Raju</t>
  </si>
  <si>
    <t>rajuahammed01917324495@gmail.com</t>
  </si>
  <si>
    <t>+8801917324495</t>
  </si>
  <si>
    <t>Happyharun Rashid</t>
  </si>
  <si>
    <t>happyharun1967@yahoo.com</t>
  </si>
  <si>
    <t>+8801916019960</t>
  </si>
  <si>
    <t>Guinea Rashid</t>
  </si>
  <si>
    <t>guinearashid123@gmail.com</t>
  </si>
  <si>
    <t>+8801755716472</t>
  </si>
  <si>
    <t>MD Biplob Hossain</t>
  </si>
  <si>
    <t>mdrazzakul51@gmail.com</t>
  </si>
  <si>
    <t>Shahid Ali</t>
  </si>
  <si>
    <t>shahidalisumon2580@gmail.com</t>
  </si>
  <si>
    <t>+8801704900801</t>
  </si>
  <si>
    <t>MA Awal</t>
  </si>
  <si>
    <t>htpower@dhaka.net</t>
  </si>
  <si>
    <t>+8801730014611</t>
  </si>
  <si>
    <t>Mahbubul Alam</t>
  </si>
  <si>
    <t>mahbubullabaid@gmail.com</t>
  </si>
  <si>
    <t>+8801922341207</t>
  </si>
  <si>
    <t>nizamuddin</t>
  </si>
  <si>
    <t>nizamuddin3462@gmaol.com</t>
  </si>
  <si>
    <t>+8801730988820</t>
  </si>
  <si>
    <t>Nurun Nobi Rabi</t>
  </si>
  <si>
    <t>nurunnobirabi@gmail.com</t>
  </si>
  <si>
    <t>+8801970553399</t>
  </si>
  <si>
    <t>Siam</t>
  </si>
  <si>
    <t>siam.aiub@gmail.com</t>
  </si>
  <si>
    <t>+8801734265667</t>
  </si>
  <si>
    <t>Md Raju</t>
  </si>
  <si>
    <t>mdraju01310275067@gmail.com</t>
  </si>
  <si>
    <t>+8801647549051</t>
  </si>
  <si>
    <t>Faruk Madbar</t>
  </si>
  <si>
    <t>farukmadbar@icloud.com</t>
  </si>
  <si>
    <t>+88001917608960</t>
  </si>
  <si>
    <t>Rasel Ahmed</t>
  </si>
  <si>
    <t>mdrasel.aopl@jmail.com</t>
  </si>
  <si>
    <t>+8801714217936</t>
  </si>
  <si>
    <t>Md Mainuddin</t>
  </si>
  <si>
    <t>mainuddin7833@gmail.com</t>
  </si>
  <si>
    <t>+8801552489896</t>
  </si>
  <si>
    <t>ফিরোজ আহমেদ</t>
  </si>
  <si>
    <t>ahmedferoj283@gmail.com</t>
  </si>
  <si>
    <t>+96560702804</t>
  </si>
  <si>
    <t>RK Khan Khan</t>
  </si>
  <si>
    <t>khanmustofa374@gmail.com</t>
  </si>
  <si>
    <t>+8801957953892</t>
  </si>
  <si>
    <t>Maleque Khalifa</t>
  </si>
  <si>
    <t>malequekhalifa1953@gmail.com</t>
  </si>
  <si>
    <t>+8801922533282</t>
  </si>
  <si>
    <t>Engr Jamal Khan</t>
  </si>
  <si>
    <t>hameemcons25@gmail.com</t>
  </si>
  <si>
    <t>+8801612165589</t>
  </si>
  <si>
    <t>Sumaya Ahsan</t>
  </si>
  <si>
    <t>Sumayaahsan33@gmail.com</t>
  </si>
  <si>
    <t>+88001968115284</t>
  </si>
  <si>
    <t>pranto</t>
  </si>
  <si>
    <t>moinulhuq37@gmail.com</t>
  </si>
  <si>
    <t>+8801799993511</t>
  </si>
  <si>
    <t>Md Akbor</t>
  </si>
  <si>
    <t>amd318581@gmail.com</t>
  </si>
  <si>
    <t>Shamsun Nahar</t>
  </si>
  <si>
    <t>mituramma@gmail.com</t>
  </si>
  <si>
    <t>+8801677188629</t>
  </si>
  <si>
    <t>Puspo Alo</t>
  </si>
  <si>
    <t>puspobilkies@gmail.com</t>
  </si>
  <si>
    <t>+8801926772018</t>
  </si>
  <si>
    <t>Raashi Moni</t>
  </si>
  <si>
    <t>mominuddin91@gmail.com</t>
  </si>
  <si>
    <t>+8801737296545</t>
  </si>
  <si>
    <t>MD Quddus</t>
  </si>
  <si>
    <t>maquddus@gmail.com</t>
  </si>
  <si>
    <t>+8801711247151</t>
  </si>
  <si>
    <t>Wahidul Islam</t>
  </si>
  <si>
    <t>ila.art.bd@gmail.com</t>
  </si>
  <si>
    <t>+8801819678110</t>
  </si>
  <si>
    <t>Subrata Roy</t>
  </si>
  <si>
    <t>subrataroy16@gmail.com</t>
  </si>
  <si>
    <t>+8801712976402</t>
  </si>
  <si>
    <t>Sahidul Islam</t>
  </si>
  <si>
    <t>lightningknit@gmail.com</t>
  </si>
  <si>
    <t>+8801711584652</t>
  </si>
  <si>
    <t>Hari Roy</t>
  </si>
  <si>
    <t>new.maitreetrad@gmail.com</t>
  </si>
  <si>
    <t>+8801711536887</t>
  </si>
  <si>
    <t>Shirin Akter</t>
  </si>
  <si>
    <t>shirinakterakc@gmail.com</t>
  </si>
  <si>
    <t>20</t>
  </si>
  <si>
    <t>21</t>
  </si>
  <si>
    <t>24</t>
  </si>
  <si>
    <t>25</t>
  </si>
  <si>
    <t>26</t>
  </si>
  <si>
    <t>27</t>
  </si>
  <si>
    <t>31</t>
  </si>
  <si>
    <t>33</t>
  </si>
  <si>
    <t>34</t>
  </si>
  <si>
    <t>35</t>
  </si>
  <si>
    <t>36</t>
  </si>
  <si>
    <t>Rushad</t>
  </si>
  <si>
    <t>18</t>
  </si>
  <si>
    <t>Rahmat ullah</t>
  </si>
  <si>
    <t>19</t>
  </si>
  <si>
    <t>17</t>
  </si>
  <si>
    <t>11</t>
  </si>
  <si>
    <t>Hafiz</t>
  </si>
  <si>
    <t>13</t>
  </si>
  <si>
    <t>shamim</t>
  </si>
  <si>
    <t>khokon</t>
  </si>
  <si>
    <t>baten</t>
  </si>
  <si>
    <t>12</t>
  </si>
  <si>
    <t>habib</t>
  </si>
  <si>
    <t>7</t>
  </si>
  <si>
    <t>nasir</t>
  </si>
  <si>
    <t>5</t>
  </si>
  <si>
    <t>9</t>
  </si>
  <si>
    <t>6</t>
  </si>
  <si>
    <t>8</t>
  </si>
  <si>
    <t>dulal</t>
  </si>
  <si>
    <t>atique</t>
  </si>
  <si>
    <t>nazmul</t>
  </si>
  <si>
    <t>yousuf</t>
  </si>
  <si>
    <t>SKM</t>
  </si>
  <si>
    <t>kishor</t>
  </si>
  <si>
    <t>khaleq</t>
  </si>
  <si>
    <t>sagar</t>
  </si>
  <si>
    <t>sumon</t>
  </si>
  <si>
    <t>atik</t>
  </si>
  <si>
    <t>jahedul</t>
  </si>
  <si>
    <t>10</t>
  </si>
  <si>
    <t>jaki</t>
  </si>
  <si>
    <t>mowdud</t>
  </si>
  <si>
    <t>zabedt</t>
  </si>
  <si>
    <t>shahinoor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</si>
</sst>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0"/>
      <name val="Verdana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5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1" fillId="0" borderId="0" xfId="0" applyNumberFormat="1" applyFont="1" applyFill="1" applyBorder="1" applyAlignment="1" applyProtection="1">
      <alignment horizontal="left"/>
    </xf>
    <xf numFmtId="0" fontId="22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4" fillId="0" borderId="11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49" fontId="19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Alignment="1"/>
    <xf numFmtId="49" fontId="19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Alignment="1">
      <alignment horizontal="left"/>
    </xf>
    <xf numFmtId="0" fontId="25" fillId="3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3" fillId="0" borderId="10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0" fillId="0" borderId="0" xfId="0" applyFont="1" applyFill="1" applyAlignment="1"/>
    <xf numFmtId="0" fontId="23" fillId="0" borderId="16" xfId="0" applyFont="1" applyFill="1" applyBorder="1" applyAlignment="1">
      <alignment horizontal="center"/>
    </xf>
    <xf numFmtId="0" fontId="26" fillId="0" borderId="10" xfId="0" applyFont="1" applyFill="1" applyBorder="1" applyAlignment="1">
      <alignment horizontal="center"/>
    </xf>
    <xf numFmtId="0" fontId="27" fillId="0" borderId="0" xfId="0" applyNumberFormat="1" applyFont="1" applyFill="1" applyBorder="1" applyAlignment="1" applyProtection="1">
      <alignment horizontal="left"/>
    </xf>
    <xf numFmtId="1" fontId="27" fillId="0" borderId="0" xfId="0" applyNumberFormat="1" applyFont="1" applyFill="1" applyBorder="1" applyAlignment="1" applyProtection="1">
      <alignment horizontal="right"/>
    </xf>
    <xf numFmtId="49" fontId="0" fillId="0" borderId="0" xfId="0" applyNumberFormat="1" applyAlignment="1">
      <alignment horizontal="center"/>
    </xf>
    <xf numFmtId="0" fontId="23" fillId="34" borderId="10" xfId="0" applyFont="1" applyFill="1" applyBorder="1" applyAlignment="1">
      <alignment horizontal="center"/>
    </xf>
    <xf numFmtId="0" fontId="23" fillId="34" borderId="14" xfId="0" applyFont="1" applyFill="1" applyBorder="1" applyAlignment="1">
      <alignment horizontal="center"/>
    </xf>
    <xf numFmtId="0" fontId="26" fillId="0" borderId="13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80"/>
  <sheetViews>
    <sheetView tabSelected="1" workbookViewId="0">
      <selection activeCell="A3" sqref="A3:XFD81"/>
    </sheetView>
  </sheetViews>
  <sheetFormatPr defaultRowHeight="15" x14ac:dyDescent="0.25"/>
  <cols>
    <col min="1" max="1" width="9.140625" style="7" customWidth="1"/>
    <col min="2" max="2" width="33" customWidth="1"/>
    <col min="3" max="3" width="20.85546875" style="16" customWidth="1"/>
    <col min="4" max="4" width="43.42578125" style="18" customWidth="1"/>
    <col min="5" max="5" width="12" customWidth="1"/>
    <col min="6" max="6" width="11.5703125" style="7" bestFit="1" customWidth="1"/>
    <col min="7" max="7" width="14.140625" bestFit="1" customWidth="1"/>
    <col min="8" max="8" width="9.140625" style="7"/>
    <col min="9" max="9" width="11.140625" customWidth="1"/>
    <col min="10" max="10" width="10.5703125" customWidth="1"/>
  </cols>
  <sheetData>
    <row r="1" spans="1:9" ht="30" x14ac:dyDescent="0.25">
      <c r="A1" s="2" t="s">
        <v>3</v>
      </c>
      <c r="B1" s="3" t="s">
        <v>0</v>
      </c>
      <c r="C1" s="15" t="s">
        <v>2</v>
      </c>
      <c r="D1" s="17" t="s">
        <v>1</v>
      </c>
      <c r="E1" s="4" t="s">
        <v>4</v>
      </c>
      <c r="F1" s="3" t="s">
        <v>6</v>
      </c>
      <c r="G1" s="6" t="s">
        <v>7</v>
      </c>
      <c r="H1" s="5" t="s">
        <v>5</v>
      </c>
    </row>
    <row r="2" spans="1:9" x14ac:dyDescent="0.25">
      <c r="A2" s="7">
        <v>14</v>
      </c>
      <c r="B2" s="27" t="s">
        <v>49</v>
      </c>
      <c r="C2" s="27" t="s">
        <v>50</v>
      </c>
      <c r="D2" s="27" t="s">
        <v>51</v>
      </c>
      <c r="E2" s="1" t="s">
        <v>15</v>
      </c>
      <c r="F2" s="7">
        <v>1</v>
      </c>
      <c r="G2" s="8" t="s">
        <v>9</v>
      </c>
      <c r="H2" s="29">
        <v>4</v>
      </c>
      <c r="I2" s="1" t="s">
        <v>8</v>
      </c>
    </row>
    <row r="3" spans="1:9" x14ac:dyDescent="0.25">
      <c r="A3" s="7">
        <v>14</v>
      </c>
      <c r="B3" s="27" t="s">
        <v>52</v>
      </c>
      <c r="C3" s="27" t="s">
        <v>53</v>
      </c>
      <c r="D3" s="27" t="s">
        <v>54</v>
      </c>
      <c r="E3" s="1" t="s">
        <v>15</v>
      </c>
      <c r="F3" s="7">
        <v>1</v>
      </c>
      <c r="G3" s="8" t="s">
        <v>9</v>
      </c>
      <c r="H3" s="29">
        <v>4</v>
      </c>
      <c r="I3" s="1" t="s">
        <v>8</v>
      </c>
    </row>
    <row r="4" spans="1:9" x14ac:dyDescent="0.25">
      <c r="A4" s="7">
        <v>14</v>
      </c>
      <c r="B4" s="27" t="s">
        <v>55</v>
      </c>
      <c r="C4" s="27" t="s">
        <v>56</v>
      </c>
      <c r="D4" s="27" t="s">
        <v>57</v>
      </c>
      <c r="E4" s="1" t="s">
        <v>15</v>
      </c>
      <c r="F4" s="7">
        <v>1</v>
      </c>
      <c r="G4" s="8" t="s">
        <v>9</v>
      </c>
      <c r="H4" s="29">
        <v>4</v>
      </c>
      <c r="I4" s="1" t="s">
        <v>8</v>
      </c>
    </row>
    <row r="5" spans="1:9" x14ac:dyDescent="0.25">
      <c r="A5" s="7">
        <v>14</v>
      </c>
      <c r="B5" s="27" t="s">
        <v>58</v>
      </c>
      <c r="C5" s="27" t="s">
        <v>59</v>
      </c>
      <c r="D5" s="27" t="s">
        <v>60</v>
      </c>
      <c r="E5" s="1" t="s">
        <v>15</v>
      </c>
      <c r="F5" s="7">
        <v>1</v>
      </c>
      <c r="G5" s="8" t="s">
        <v>9</v>
      </c>
      <c r="H5" s="29">
        <v>4</v>
      </c>
      <c r="I5" s="1" t="s">
        <v>8</v>
      </c>
    </row>
    <row r="6" spans="1:9" x14ac:dyDescent="0.25">
      <c r="A6" s="7">
        <v>14</v>
      </c>
      <c r="B6" s="27" t="s">
        <v>61</v>
      </c>
      <c r="C6" s="27" t="s">
        <v>62</v>
      </c>
      <c r="D6" s="27" t="s">
        <v>63</v>
      </c>
      <c r="E6" s="1" t="s">
        <v>15</v>
      </c>
      <c r="F6" s="7">
        <v>1</v>
      </c>
      <c r="G6" s="8" t="s">
        <v>9</v>
      </c>
      <c r="H6" s="29" t="s">
        <v>279</v>
      </c>
      <c r="I6" s="1" t="s">
        <v>290</v>
      </c>
    </row>
    <row r="7" spans="1:9" x14ac:dyDescent="0.25">
      <c r="A7" s="7">
        <v>14</v>
      </c>
      <c r="B7" s="27" t="s">
        <v>64</v>
      </c>
      <c r="C7" s="27" t="s">
        <v>65</v>
      </c>
      <c r="D7" s="27" t="s">
        <v>66</v>
      </c>
      <c r="E7" s="1" t="s">
        <v>15</v>
      </c>
      <c r="F7" s="7">
        <v>1</v>
      </c>
      <c r="G7" s="8" t="s">
        <v>9</v>
      </c>
      <c r="H7" s="29" t="s">
        <v>279</v>
      </c>
      <c r="I7" s="1" t="s">
        <v>290</v>
      </c>
    </row>
    <row r="8" spans="1:9" x14ac:dyDescent="0.25">
      <c r="A8" s="7">
        <v>14</v>
      </c>
      <c r="B8" s="27" t="s">
        <v>67</v>
      </c>
      <c r="C8" s="27" t="s">
        <v>68</v>
      </c>
      <c r="D8" s="27" t="s">
        <v>69</v>
      </c>
      <c r="E8" s="1" t="s">
        <v>15</v>
      </c>
      <c r="F8" s="7">
        <v>1</v>
      </c>
      <c r="G8" s="8" t="s">
        <v>9</v>
      </c>
      <c r="H8" s="29" t="s">
        <v>279</v>
      </c>
      <c r="I8" s="1" t="s">
        <v>290</v>
      </c>
    </row>
    <row r="9" spans="1:9" x14ac:dyDescent="0.25">
      <c r="A9" s="7">
        <v>14</v>
      </c>
      <c r="B9" s="27" t="s">
        <v>16</v>
      </c>
      <c r="C9" s="27" t="s">
        <v>70</v>
      </c>
      <c r="D9" s="27" t="s">
        <v>71</v>
      </c>
      <c r="E9" s="1" t="s">
        <v>15</v>
      </c>
      <c r="F9" s="7">
        <v>1</v>
      </c>
      <c r="G9" s="8" t="s">
        <v>9</v>
      </c>
      <c r="H9" s="29" t="s">
        <v>279</v>
      </c>
      <c r="I9" s="1" t="s">
        <v>290</v>
      </c>
    </row>
    <row r="10" spans="1:9" x14ac:dyDescent="0.25">
      <c r="A10" s="7">
        <v>14</v>
      </c>
      <c r="B10" s="27" t="s">
        <v>72</v>
      </c>
      <c r="C10" s="27" t="s">
        <v>73</v>
      </c>
      <c r="D10" s="27" t="s">
        <v>74</v>
      </c>
      <c r="E10" s="1" t="s">
        <v>15</v>
      </c>
      <c r="F10" s="7">
        <v>1</v>
      </c>
      <c r="G10" s="8" t="s">
        <v>9</v>
      </c>
      <c r="H10" s="29" t="s">
        <v>280</v>
      </c>
      <c r="I10" s="1" t="s">
        <v>292</v>
      </c>
    </row>
    <row r="11" spans="1:9" x14ac:dyDescent="0.25">
      <c r="A11" s="7">
        <v>14</v>
      </c>
      <c r="B11" s="27" t="s">
        <v>75</v>
      </c>
      <c r="C11" s="27" t="s">
        <v>76</v>
      </c>
      <c r="D11" s="27" t="s">
        <v>77</v>
      </c>
      <c r="E11" s="1" t="s">
        <v>15</v>
      </c>
      <c r="F11" s="7">
        <v>1</v>
      </c>
      <c r="G11" s="8" t="s">
        <v>9</v>
      </c>
      <c r="H11" s="29" t="s">
        <v>280</v>
      </c>
      <c r="I11" s="1" t="s">
        <v>292</v>
      </c>
    </row>
    <row r="12" spans="1:9" x14ac:dyDescent="0.25">
      <c r="A12" s="7">
        <v>14</v>
      </c>
      <c r="B12" s="27" t="s">
        <v>78</v>
      </c>
      <c r="C12" s="27" t="s">
        <v>79</v>
      </c>
      <c r="D12" s="27" t="s">
        <v>80</v>
      </c>
      <c r="E12" s="1" t="s">
        <v>15</v>
      </c>
      <c r="F12" s="7">
        <v>1</v>
      </c>
      <c r="G12" s="8" t="s">
        <v>9</v>
      </c>
      <c r="H12" s="29" t="s">
        <v>280</v>
      </c>
      <c r="I12" s="1" t="s">
        <v>292</v>
      </c>
    </row>
    <row r="13" spans="1:9" x14ac:dyDescent="0.25">
      <c r="A13" s="7">
        <v>14</v>
      </c>
      <c r="B13" s="27" t="s">
        <v>81</v>
      </c>
      <c r="C13" s="27" t="s">
        <v>82</v>
      </c>
      <c r="D13" s="27" t="s">
        <v>83</v>
      </c>
      <c r="E13" s="1" t="s">
        <v>15</v>
      </c>
      <c r="F13" s="7">
        <v>1</v>
      </c>
      <c r="G13" s="8" t="s">
        <v>9</v>
      </c>
      <c r="H13" s="29" t="s">
        <v>280</v>
      </c>
      <c r="I13" s="1" t="s">
        <v>292</v>
      </c>
    </row>
    <row r="14" spans="1:9" x14ac:dyDescent="0.25">
      <c r="A14" s="7">
        <v>14</v>
      </c>
      <c r="B14" s="27" t="s">
        <v>84</v>
      </c>
      <c r="C14" s="27" t="s">
        <v>85</v>
      </c>
      <c r="D14" s="27" t="s">
        <v>86</v>
      </c>
      <c r="E14" s="1" t="s">
        <v>15</v>
      </c>
      <c r="F14" s="7">
        <v>1</v>
      </c>
      <c r="G14" s="8" t="s">
        <v>9</v>
      </c>
      <c r="H14" s="29" t="s">
        <v>293</v>
      </c>
      <c r="I14" s="1" t="s">
        <v>296</v>
      </c>
    </row>
    <row r="15" spans="1:9" x14ac:dyDescent="0.25">
      <c r="A15" s="7">
        <v>14</v>
      </c>
      <c r="B15" s="27" t="s">
        <v>87</v>
      </c>
      <c r="C15" s="27" t="s">
        <v>88</v>
      </c>
      <c r="D15" s="27" t="s">
        <v>89</v>
      </c>
      <c r="E15" s="1" t="s">
        <v>15</v>
      </c>
      <c r="F15" s="7">
        <v>1</v>
      </c>
      <c r="G15" s="8" t="s">
        <v>9</v>
      </c>
      <c r="H15" s="29" t="s">
        <v>293</v>
      </c>
      <c r="I15" s="1" t="s">
        <v>296</v>
      </c>
    </row>
    <row r="16" spans="1:9" x14ac:dyDescent="0.25">
      <c r="A16" s="7">
        <v>14</v>
      </c>
      <c r="B16" s="27" t="s">
        <v>90</v>
      </c>
      <c r="C16" s="27" t="s">
        <v>91</v>
      </c>
      <c r="D16" s="27" t="s">
        <v>92</v>
      </c>
      <c r="E16" s="1" t="s">
        <v>15</v>
      </c>
      <c r="F16" s="7">
        <v>1</v>
      </c>
      <c r="G16" s="8" t="s">
        <v>9</v>
      </c>
      <c r="H16" s="29" t="s">
        <v>293</v>
      </c>
      <c r="I16" s="1" t="s">
        <v>296</v>
      </c>
    </row>
    <row r="17" spans="1:9" x14ac:dyDescent="0.25">
      <c r="A17" s="7">
        <v>14</v>
      </c>
      <c r="B17" s="27" t="s">
        <v>93</v>
      </c>
      <c r="C17" s="27" t="s">
        <v>94</v>
      </c>
      <c r="D17" s="27" t="s">
        <v>95</v>
      </c>
      <c r="E17" s="1" t="s">
        <v>15</v>
      </c>
      <c r="F17" s="7">
        <v>1</v>
      </c>
      <c r="G17" s="8" t="s">
        <v>9</v>
      </c>
      <c r="H17" s="29" t="s">
        <v>293</v>
      </c>
      <c r="I17" s="1" t="s">
        <v>296</v>
      </c>
    </row>
    <row r="18" spans="1:9" x14ac:dyDescent="0.25">
      <c r="A18" s="7">
        <v>14</v>
      </c>
      <c r="B18" s="27" t="s">
        <v>96</v>
      </c>
      <c r="C18" s="27" t="s">
        <v>97</v>
      </c>
      <c r="D18" s="27" t="s">
        <v>98</v>
      </c>
      <c r="E18" s="1" t="s">
        <v>15</v>
      </c>
      <c r="F18" s="7">
        <v>1</v>
      </c>
      <c r="G18" s="8" t="s">
        <v>9</v>
      </c>
      <c r="H18" s="29" t="s">
        <v>297</v>
      </c>
      <c r="I18" s="1" t="s">
        <v>298</v>
      </c>
    </row>
    <row r="19" spans="1:9" x14ac:dyDescent="0.25">
      <c r="A19" s="7">
        <v>14</v>
      </c>
      <c r="B19" s="27" t="s">
        <v>99</v>
      </c>
      <c r="C19" s="27" t="s">
        <v>100</v>
      </c>
      <c r="D19" s="27" t="s">
        <v>101</v>
      </c>
      <c r="E19" s="1" t="s">
        <v>15</v>
      </c>
      <c r="F19" s="7">
        <v>1</v>
      </c>
      <c r="G19" s="8" t="s">
        <v>9</v>
      </c>
      <c r="H19" s="29" t="s">
        <v>297</v>
      </c>
      <c r="I19" s="1" t="s">
        <v>298</v>
      </c>
    </row>
    <row r="20" spans="1:9" x14ac:dyDescent="0.25">
      <c r="A20" s="7">
        <v>14</v>
      </c>
      <c r="B20" s="27" t="s">
        <v>102</v>
      </c>
      <c r="C20" s="27" t="s">
        <v>103</v>
      </c>
      <c r="D20" s="27" t="s">
        <v>104</v>
      </c>
      <c r="E20" s="1" t="s">
        <v>15</v>
      </c>
      <c r="F20" s="7">
        <v>1</v>
      </c>
      <c r="G20" s="8" t="s">
        <v>9</v>
      </c>
      <c r="H20" s="29" t="s">
        <v>297</v>
      </c>
      <c r="I20" s="1" t="s">
        <v>298</v>
      </c>
    </row>
    <row r="21" spans="1:9" x14ac:dyDescent="0.25">
      <c r="A21" s="7">
        <v>14</v>
      </c>
      <c r="B21" s="27" t="s">
        <v>105</v>
      </c>
      <c r="C21" s="27" t="s">
        <v>106</v>
      </c>
      <c r="D21" s="27" t="s">
        <v>107</v>
      </c>
      <c r="E21" s="1" t="s">
        <v>15</v>
      </c>
      <c r="F21" s="7">
        <v>1</v>
      </c>
      <c r="G21" s="8" t="s">
        <v>9</v>
      </c>
      <c r="H21" s="29" t="s">
        <v>286</v>
      </c>
      <c r="I21" s="1" t="s">
        <v>299</v>
      </c>
    </row>
    <row r="22" spans="1:9" x14ac:dyDescent="0.25">
      <c r="A22" s="7">
        <v>14</v>
      </c>
      <c r="B22" s="27" t="s">
        <v>108</v>
      </c>
      <c r="C22" s="27" t="s">
        <v>109</v>
      </c>
      <c r="D22" s="27" t="s">
        <v>110</v>
      </c>
      <c r="E22" s="1" t="s">
        <v>15</v>
      </c>
      <c r="F22" s="7">
        <v>1</v>
      </c>
      <c r="G22" s="8" t="s">
        <v>9</v>
      </c>
      <c r="H22" s="29" t="s">
        <v>286</v>
      </c>
      <c r="I22" s="1" t="s">
        <v>299</v>
      </c>
    </row>
    <row r="23" spans="1:9" x14ac:dyDescent="0.25">
      <c r="A23" s="7">
        <v>14</v>
      </c>
      <c r="B23" s="27" t="s">
        <v>47</v>
      </c>
      <c r="C23" s="27" t="s">
        <v>111</v>
      </c>
      <c r="D23" s="27" t="s">
        <v>112</v>
      </c>
      <c r="E23" s="1" t="s">
        <v>15</v>
      </c>
      <c r="F23" s="7">
        <v>1</v>
      </c>
      <c r="G23" s="8" t="s">
        <v>9</v>
      </c>
      <c r="H23" s="29" t="s">
        <v>286</v>
      </c>
      <c r="I23" s="1" t="s">
        <v>299</v>
      </c>
    </row>
    <row r="24" spans="1:9" x14ac:dyDescent="0.25">
      <c r="A24" s="7">
        <v>14</v>
      </c>
      <c r="B24" s="27" t="s">
        <v>113</v>
      </c>
      <c r="C24" s="27" t="s">
        <v>114</v>
      </c>
      <c r="D24" s="27" t="s">
        <v>115</v>
      </c>
      <c r="E24" s="1" t="s">
        <v>15</v>
      </c>
      <c r="F24" s="7">
        <v>1</v>
      </c>
      <c r="G24" s="8" t="s">
        <v>9</v>
      </c>
      <c r="H24" s="29" t="s">
        <v>285</v>
      </c>
      <c r="I24" s="1" t="s">
        <v>300</v>
      </c>
    </row>
    <row r="25" spans="1:9" x14ac:dyDescent="0.25">
      <c r="A25" s="7">
        <v>14</v>
      </c>
      <c r="B25" s="27" t="s">
        <v>116</v>
      </c>
      <c r="C25" s="27" t="s">
        <v>117</v>
      </c>
      <c r="D25" s="27" t="s">
        <v>118</v>
      </c>
      <c r="E25" s="1" t="s">
        <v>15</v>
      </c>
      <c r="F25" s="7">
        <v>1</v>
      </c>
      <c r="G25" s="8" t="s">
        <v>9</v>
      </c>
      <c r="H25" s="29" t="s">
        <v>285</v>
      </c>
      <c r="I25" s="1" t="s">
        <v>300</v>
      </c>
    </row>
    <row r="26" spans="1:9" x14ac:dyDescent="0.25">
      <c r="A26" s="7">
        <v>14</v>
      </c>
      <c r="B26" s="27" t="s">
        <v>119</v>
      </c>
      <c r="C26" s="27" t="s">
        <v>120</v>
      </c>
      <c r="D26" s="27" t="s">
        <v>121</v>
      </c>
      <c r="E26" s="1" t="s">
        <v>15</v>
      </c>
      <c r="F26" s="7">
        <v>1</v>
      </c>
      <c r="G26" s="8" t="s">
        <v>9</v>
      </c>
      <c r="H26" s="29" t="s">
        <v>285</v>
      </c>
      <c r="I26" s="1" t="s">
        <v>300</v>
      </c>
    </row>
    <row r="27" spans="1:9" x14ac:dyDescent="0.25">
      <c r="A27" s="7">
        <v>14</v>
      </c>
      <c r="B27" s="27" t="s">
        <v>122</v>
      </c>
      <c r="C27" s="27" t="s">
        <v>123</v>
      </c>
      <c r="D27" s="27" t="s">
        <v>124</v>
      </c>
      <c r="E27" s="1" t="s">
        <v>15</v>
      </c>
      <c r="F27" s="7">
        <v>1</v>
      </c>
      <c r="G27" s="8" t="s">
        <v>9</v>
      </c>
      <c r="H27" s="29" t="s">
        <v>301</v>
      </c>
      <c r="I27" s="1" t="s">
        <v>302</v>
      </c>
    </row>
    <row r="28" spans="1:9" x14ac:dyDescent="0.25">
      <c r="A28" s="7">
        <v>14</v>
      </c>
      <c r="B28" s="27" t="s">
        <v>125</v>
      </c>
      <c r="C28" s="27" t="s">
        <v>126</v>
      </c>
      <c r="D28" s="27" t="s">
        <v>127</v>
      </c>
      <c r="E28" s="1" t="s">
        <v>15</v>
      </c>
      <c r="F28" s="7">
        <v>1</v>
      </c>
      <c r="G28" s="8" t="s">
        <v>9</v>
      </c>
      <c r="H28" s="29" t="s">
        <v>301</v>
      </c>
      <c r="I28" s="1" t="s">
        <v>302</v>
      </c>
    </row>
    <row r="29" spans="1:9" x14ac:dyDescent="0.25">
      <c r="A29" s="7">
        <v>14</v>
      </c>
      <c r="B29" s="27" t="s">
        <v>128</v>
      </c>
      <c r="C29" s="27" t="s">
        <v>129</v>
      </c>
      <c r="D29" s="27" t="s">
        <v>130</v>
      </c>
      <c r="E29" s="1" t="s">
        <v>15</v>
      </c>
      <c r="F29" s="7">
        <v>1</v>
      </c>
      <c r="G29" s="8" t="s">
        <v>9</v>
      </c>
      <c r="H29" s="29" t="s">
        <v>301</v>
      </c>
      <c r="I29" s="1" t="s">
        <v>302</v>
      </c>
    </row>
    <row r="30" spans="1:9" x14ac:dyDescent="0.25">
      <c r="A30" s="7">
        <v>14</v>
      </c>
      <c r="B30" s="27" t="s">
        <v>131</v>
      </c>
      <c r="C30" s="27" t="s">
        <v>132</v>
      </c>
      <c r="D30" s="27" t="s">
        <v>133</v>
      </c>
      <c r="E30" s="1" t="s">
        <v>15</v>
      </c>
      <c r="F30" s="7">
        <v>1</v>
      </c>
      <c r="G30" s="8" t="s">
        <v>9</v>
      </c>
      <c r="H30" s="29" t="s">
        <v>303</v>
      </c>
      <c r="I30" s="1" t="s">
        <v>304</v>
      </c>
    </row>
    <row r="31" spans="1:9" x14ac:dyDescent="0.25">
      <c r="A31" s="7">
        <v>14</v>
      </c>
      <c r="B31" s="27" t="s">
        <v>134</v>
      </c>
      <c r="C31" s="27" t="s">
        <v>135</v>
      </c>
      <c r="D31" s="27" t="s">
        <v>136</v>
      </c>
      <c r="E31" s="1" t="s">
        <v>15</v>
      </c>
      <c r="F31" s="7">
        <v>1</v>
      </c>
      <c r="G31" s="8" t="s">
        <v>9</v>
      </c>
      <c r="H31" s="29" t="s">
        <v>303</v>
      </c>
      <c r="I31" s="1" t="s">
        <v>304</v>
      </c>
    </row>
    <row r="32" spans="1:9" x14ac:dyDescent="0.25">
      <c r="A32" s="7">
        <v>14</v>
      </c>
      <c r="B32" s="27" t="s">
        <v>137</v>
      </c>
      <c r="C32" s="27" t="s">
        <v>138</v>
      </c>
      <c r="D32" s="27" t="s">
        <v>139</v>
      </c>
      <c r="E32" s="1" t="s">
        <v>15</v>
      </c>
      <c r="F32" s="7">
        <v>1</v>
      </c>
      <c r="G32" s="8" t="s">
        <v>9</v>
      </c>
      <c r="H32" s="29" t="s">
        <v>305</v>
      </c>
      <c r="I32" s="1" t="s">
        <v>309</v>
      </c>
    </row>
    <row r="33" spans="1:9" x14ac:dyDescent="0.25">
      <c r="A33" s="7">
        <v>14</v>
      </c>
      <c r="B33" s="27" t="s">
        <v>140</v>
      </c>
      <c r="C33" s="27" t="s">
        <v>141</v>
      </c>
      <c r="D33" s="27" t="s">
        <v>142</v>
      </c>
      <c r="E33" s="1" t="s">
        <v>15</v>
      </c>
      <c r="F33" s="7">
        <v>1</v>
      </c>
      <c r="G33" s="8" t="s">
        <v>9</v>
      </c>
      <c r="H33" s="29" t="s">
        <v>305</v>
      </c>
      <c r="I33" s="1" t="s">
        <v>309</v>
      </c>
    </row>
    <row r="34" spans="1:9" x14ac:dyDescent="0.25">
      <c r="A34" s="7">
        <v>14</v>
      </c>
      <c r="B34" s="27" t="s">
        <v>143</v>
      </c>
      <c r="C34" s="27" t="s">
        <v>144</v>
      </c>
      <c r="D34" s="27" t="s">
        <v>145</v>
      </c>
      <c r="E34" s="1" t="s">
        <v>15</v>
      </c>
      <c r="F34" s="7">
        <v>1</v>
      </c>
      <c r="G34" s="8" t="s">
        <v>9</v>
      </c>
      <c r="H34" s="29" t="s">
        <v>305</v>
      </c>
      <c r="I34" s="1" t="s">
        <v>309</v>
      </c>
    </row>
    <row r="35" spans="1:9" x14ac:dyDescent="0.25">
      <c r="A35" s="7">
        <v>14</v>
      </c>
      <c r="B35" s="27" t="s">
        <v>146</v>
      </c>
      <c r="C35" s="27" t="s">
        <v>147</v>
      </c>
      <c r="D35" s="27" t="s">
        <v>148</v>
      </c>
      <c r="E35" s="1" t="s">
        <v>15</v>
      </c>
      <c r="F35" s="7">
        <v>1</v>
      </c>
      <c r="G35" s="8" t="s">
        <v>9</v>
      </c>
      <c r="H35" s="29" t="s">
        <v>294</v>
      </c>
      <c r="I35" s="1" t="s">
        <v>310</v>
      </c>
    </row>
    <row r="36" spans="1:9" x14ac:dyDescent="0.25">
      <c r="A36" s="7">
        <v>14</v>
      </c>
      <c r="B36" s="27" t="s">
        <v>149</v>
      </c>
      <c r="C36" s="27" t="s">
        <v>150</v>
      </c>
      <c r="D36" s="27" t="s">
        <v>151</v>
      </c>
      <c r="E36" s="1" t="s">
        <v>15</v>
      </c>
      <c r="F36" s="7">
        <v>1</v>
      </c>
      <c r="G36" s="8" t="s">
        <v>9</v>
      </c>
      <c r="H36" s="29" t="s">
        <v>294</v>
      </c>
      <c r="I36" s="1" t="s">
        <v>310</v>
      </c>
    </row>
    <row r="37" spans="1:9" x14ac:dyDescent="0.25">
      <c r="A37" s="7">
        <v>14</v>
      </c>
      <c r="B37" s="27" t="s">
        <v>152</v>
      </c>
      <c r="C37" s="27" t="s">
        <v>153</v>
      </c>
      <c r="D37" s="27" t="s">
        <v>154</v>
      </c>
      <c r="E37" s="1" t="s">
        <v>15</v>
      </c>
      <c r="F37" s="7">
        <v>1</v>
      </c>
      <c r="G37" s="8" t="s">
        <v>9</v>
      </c>
      <c r="H37" s="29" t="s">
        <v>294</v>
      </c>
      <c r="I37" s="1" t="s">
        <v>310</v>
      </c>
    </row>
    <row r="38" spans="1:9" x14ac:dyDescent="0.25">
      <c r="A38" s="7">
        <v>14</v>
      </c>
      <c r="B38" s="27" t="s">
        <v>155</v>
      </c>
      <c r="C38" s="27" t="s">
        <v>156</v>
      </c>
      <c r="D38" s="27" t="s">
        <v>157</v>
      </c>
      <c r="E38" s="1" t="s">
        <v>15</v>
      </c>
      <c r="F38" s="7">
        <v>1</v>
      </c>
      <c r="G38" s="8" t="s">
        <v>9</v>
      </c>
      <c r="H38" s="29" t="s">
        <v>306</v>
      </c>
      <c r="I38" s="1" t="s">
        <v>311</v>
      </c>
    </row>
    <row r="39" spans="1:9" x14ac:dyDescent="0.25">
      <c r="A39" s="7">
        <v>14</v>
      </c>
      <c r="B39" s="27" t="s">
        <v>158</v>
      </c>
      <c r="C39" s="27" t="s">
        <v>159</v>
      </c>
      <c r="D39" s="28">
        <v>1791591729</v>
      </c>
      <c r="E39" s="1" t="s">
        <v>15</v>
      </c>
      <c r="F39" s="7">
        <v>1</v>
      </c>
      <c r="G39" s="8" t="s">
        <v>9</v>
      </c>
      <c r="H39" s="29" t="s">
        <v>306</v>
      </c>
      <c r="I39" s="1" t="s">
        <v>311</v>
      </c>
    </row>
    <row r="40" spans="1:9" x14ac:dyDescent="0.25">
      <c r="A40" s="7">
        <v>14</v>
      </c>
      <c r="B40" s="27" t="s">
        <v>160</v>
      </c>
      <c r="C40" s="27" t="s">
        <v>161</v>
      </c>
      <c r="D40" s="27" t="s">
        <v>162</v>
      </c>
      <c r="E40" s="1" t="s">
        <v>15</v>
      </c>
      <c r="F40" s="7">
        <v>1</v>
      </c>
      <c r="G40" s="8" t="s">
        <v>9</v>
      </c>
      <c r="H40" s="29" t="s">
        <v>306</v>
      </c>
      <c r="I40" s="1" t="s">
        <v>311</v>
      </c>
    </row>
    <row r="41" spans="1:9" x14ac:dyDescent="0.25">
      <c r="A41" s="7">
        <v>14</v>
      </c>
      <c r="B41" s="27" t="s">
        <v>163</v>
      </c>
      <c r="C41" s="27" t="s">
        <v>164</v>
      </c>
      <c r="D41" s="27" t="s">
        <v>165</v>
      </c>
      <c r="E41" s="1" t="s">
        <v>15</v>
      </c>
      <c r="F41" s="7">
        <v>1</v>
      </c>
      <c r="G41" s="8" t="s">
        <v>9</v>
      </c>
      <c r="H41" s="29" t="s">
        <v>307</v>
      </c>
      <c r="I41" s="1" t="s">
        <v>312</v>
      </c>
    </row>
    <row r="42" spans="1:9" x14ac:dyDescent="0.25">
      <c r="A42" s="7">
        <v>14</v>
      </c>
      <c r="B42" s="27" t="s">
        <v>166</v>
      </c>
      <c r="C42" s="27" t="s">
        <v>167</v>
      </c>
      <c r="D42" s="27" t="s">
        <v>168</v>
      </c>
      <c r="E42" s="1" t="s">
        <v>15</v>
      </c>
      <c r="F42" s="7">
        <v>1</v>
      </c>
      <c r="G42" s="8" t="s">
        <v>9</v>
      </c>
      <c r="H42" s="29" t="s">
        <v>307</v>
      </c>
      <c r="I42" s="1" t="s">
        <v>312</v>
      </c>
    </row>
    <row r="43" spans="1:9" x14ac:dyDescent="0.25">
      <c r="A43" s="7">
        <v>14</v>
      </c>
      <c r="B43" s="27" t="s">
        <v>169</v>
      </c>
      <c r="C43" s="27" t="s">
        <v>170</v>
      </c>
      <c r="D43" s="27" t="s">
        <v>171</v>
      </c>
      <c r="E43" s="1" t="s">
        <v>15</v>
      </c>
      <c r="F43" s="7">
        <v>1</v>
      </c>
      <c r="G43" s="8" t="s">
        <v>9</v>
      </c>
      <c r="H43" s="29" t="s">
        <v>307</v>
      </c>
      <c r="I43" s="1" t="s">
        <v>312</v>
      </c>
    </row>
    <row r="44" spans="1:9" x14ac:dyDescent="0.25">
      <c r="A44" s="7">
        <v>14</v>
      </c>
      <c r="B44" s="27" t="s">
        <v>172</v>
      </c>
      <c r="C44" s="27" t="s">
        <v>173</v>
      </c>
      <c r="D44" s="27" t="s">
        <v>174</v>
      </c>
      <c r="E44" s="1" t="s">
        <v>15</v>
      </c>
      <c r="F44" s="7">
        <v>1</v>
      </c>
      <c r="G44" s="8" t="s">
        <v>9</v>
      </c>
      <c r="H44" s="29" t="s">
        <v>284</v>
      </c>
      <c r="I44" s="1" t="s">
        <v>313</v>
      </c>
    </row>
    <row r="45" spans="1:9" x14ac:dyDescent="0.25">
      <c r="A45" s="7">
        <v>14</v>
      </c>
      <c r="B45" s="27" t="s">
        <v>175</v>
      </c>
      <c r="C45" s="27" t="s">
        <v>176</v>
      </c>
      <c r="D45" s="27" t="s">
        <v>177</v>
      </c>
      <c r="E45" s="1" t="s">
        <v>15</v>
      </c>
      <c r="F45" s="7">
        <v>1</v>
      </c>
      <c r="G45" s="8" t="s">
        <v>9</v>
      </c>
      <c r="H45" s="29" t="s">
        <v>284</v>
      </c>
      <c r="I45" s="1" t="s">
        <v>313</v>
      </c>
    </row>
    <row r="46" spans="1:9" x14ac:dyDescent="0.25">
      <c r="A46" s="7">
        <v>14</v>
      </c>
      <c r="B46" s="27" t="s">
        <v>46</v>
      </c>
      <c r="C46" s="27" t="s">
        <v>178</v>
      </c>
      <c r="D46" s="27" t="s">
        <v>179</v>
      </c>
      <c r="E46" s="1" t="s">
        <v>15</v>
      </c>
      <c r="F46" s="7">
        <v>1</v>
      </c>
      <c r="G46" s="8" t="s">
        <v>9</v>
      </c>
      <c r="H46" s="29" t="s">
        <v>284</v>
      </c>
      <c r="I46" s="1" t="s">
        <v>313</v>
      </c>
    </row>
    <row r="47" spans="1:9" x14ac:dyDescent="0.25">
      <c r="A47" s="7">
        <v>14</v>
      </c>
      <c r="B47" s="27" t="s">
        <v>180</v>
      </c>
      <c r="C47" s="27" t="s">
        <v>181</v>
      </c>
      <c r="D47" s="27" t="s">
        <v>182</v>
      </c>
      <c r="E47" s="1" t="s">
        <v>15</v>
      </c>
      <c r="F47" s="7">
        <v>1</v>
      </c>
      <c r="G47" s="8" t="s">
        <v>9</v>
      </c>
      <c r="H47" s="29" t="s">
        <v>283</v>
      </c>
      <c r="I47" s="1" t="s">
        <v>314</v>
      </c>
    </row>
    <row r="48" spans="1:9" x14ac:dyDescent="0.25">
      <c r="A48" s="7">
        <v>14</v>
      </c>
      <c r="B48" s="27" t="s">
        <v>183</v>
      </c>
      <c r="C48" s="27" t="s">
        <v>184</v>
      </c>
      <c r="D48" s="27" t="s">
        <v>185</v>
      </c>
      <c r="E48" s="1" t="s">
        <v>15</v>
      </c>
      <c r="F48" s="7">
        <v>1</v>
      </c>
      <c r="G48" s="8" t="s">
        <v>9</v>
      </c>
      <c r="H48" s="29" t="s">
        <v>283</v>
      </c>
      <c r="I48" s="1" t="s">
        <v>314</v>
      </c>
    </row>
    <row r="49" spans="1:9" x14ac:dyDescent="0.25">
      <c r="A49" s="7">
        <v>14</v>
      </c>
      <c r="B49" s="27" t="s">
        <v>186</v>
      </c>
      <c r="C49" s="27" t="s">
        <v>187</v>
      </c>
      <c r="D49" s="27" t="s">
        <v>188</v>
      </c>
      <c r="E49" s="1" t="s">
        <v>15</v>
      </c>
      <c r="F49" s="7">
        <v>1</v>
      </c>
      <c r="G49" s="8" t="s">
        <v>9</v>
      </c>
      <c r="H49" s="29" t="s">
        <v>283</v>
      </c>
      <c r="I49" s="1" t="s">
        <v>314</v>
      </c>
    </row>
    <row r="50" spans="1:9" x14ac:dyDescent="0.25">
      <c r="A50" s="7">
        <v>14</v>
      </c>
      <c r="B50" s="27" t="s">
        <v>189</v>
      </c>
      <c r="C50" s="27" t="s">
        <v>190</v>
      </c>
      <c r="D50" s="27" t="s">
        <v>191</v>
      </c>
      <c r="E50" s="1" t="s">
        <v>15</v>
      </c>
      <c r="F50" s="7">
        <v>1</v>
      </c>
      <c r="G50" s="8" t="s">
        <v>9</v>
      </c>
      <c r="H50" s="29" t="s">
        <v>291</v>
      </c>
      <c r="I50" s="1" t="s">
        <v>315</v>
      </c>
    </row>
    <row r="51" spans="1:9" x14ac:dyDescent="0.25">
      <c r="A51" s="7">
        <v>14</v>
      </c>
      <c r="B51" s="27" t="s">
        <v>192</v>
      </c>
      <c r="C51" s="27" t="s">
        <v>193</v>
      </c>
      <c r="D51" s="27" t="s">
        <v>194</v>
      </c>
      <c r="E51" s="1" t="s">
        <v>15</v>
      </c>
      <c r="F51" s="7">
        <v>1</v>
      </c>
      <c r="G51" s="8" t="s">
        <v>9</v>
      </c>
      <c r="H51" s="29" t="s">
        <v>291</v>
      </c>
      <c r="I51" s="1" t="s">
        <v>315</v>
      </c>
    </row>
    <row r="52" spans="1:9" x14ac:dyDescent="0.25">
      <c r="A52" s="7">
        <v>14</v>
      </c>
      <c r="B52" s="27" t="s">
        <v>195</v>
      </c>
      <c r="C52" s="27" t="s">
        <v>196</v>
      </c>
      <c r="D52" s="27" t="s">
        <v>197</v>
      </c>
      <c r="E52" s="1" t="s">
        <v>15</v>
      </c>
      <c r="F52" s="7">
        <v>1</v>
      </c>
      <c r="G52" s="8" t="s">
        <v>9</v>
      </c>
      <c r="H52" s="29" t="s">
        <v>291</v>
      </c>
      <c r="I52" s="1" t="s">
        <v>315</v>
      </c>
    </row>
    <row r="53" spans="1:9" x14ac:dyDescent="0.25">
      <c r="A53" s="7">
        <v>14</v>
      </c>
      <c r="B53" s="27" t="s">
        <v>198</v>
      </c>
      <c r="C53" s="27" t="s">
        <v>199</v>
      </c>
      <c r="D53" s="27" t="s">
        <v>200</v>
      </c>
      <c r="E53" s="1" t="s">
        <v>15</v>
      </c>
      <c r="F53" s="7">
        <v>1</v>
      </c>
      <c r="G53" s="8" t="s">
        <v>9</v>
      </c>
      <c r="H53" s="29" t="s">
        <v>308</v>
      </c>
      <c r="I53" s="1" t="s">
        <v>316</v>
      </c>
    </row>
    <row r="54" spans="1:9" x14ac:dyDescent="0.25">
      <c r="A54" s="7">
        <v>14</v>
      </c>
      <c r="B54" s="27" t="s">
        <v>201</v>
      </c>
      <c r="C54" s="27" t="s">
        <v>202</v>
      </c>
      <c r="D54" s="28">
        <v>1955242585</v>
      </c>
      <c r="E54" s="1" t="s">
        <v>15</v>
      </c>
      <c r="F54" s="7">
        <v>1</v>
      </c>
      <c r="G54" s="8" t="s">
        <v>9</v>
      </c>
      <c r="H54" s="29" t="s">
        <v>308</v>
      </c>
      <c r="I54" s="1" t="s">
        <v>316</v>
      </c>
    </row>
    <row r="55" spans="1:9" x14ac:dyDescent="0.25">
      <c r="A55" s="7">
        <v>14</v>
      </c>
      <c r="B55" s="27" t="s">
        <v>203</v>
      </c>
      <c r="C55" s="27" t="s">
        <v>204</v>
      </c>
      <c r="D55" s="27" t="s">
        <v>205</v>
      </c>
      <c r="E55" s="1" t="s">
        <v>15</v>
      </c>
      <c r="F55" s="7">
        <v>1</v>
      </c>
      <c r="G55" s="8" t="s">
        <v>9</v>
      </c>
      <c r="H55" s="29" t="s">
        <v>308</v>
      </c>
      <c r="I55" s="1" t="s">
        <v>316</v>
      </c>
    </row>
    <row r="56" spans="1:9" x14ac:dyDescent="0.25">
      <c r="A56" s="7">
        <v>14</v>
      </c>
      <c r="B56" s="27" t="s">
        <v>206</v>
      </c>
      <c r="C56" s="27" t="s">
        <v>207</v>
      </c>
      <c r="D56" s="27" t="s">
        <v>208</v>
      </c>
      <c r="E56" s="1" t="s">
        <v>15</v>
      </c>
      <c r="F56" s="7">
        <v>1</v>
      </c>
      <c r="G56" s="8" t="s">
        <v>9</v>
      </c>
      <c r="H56" s="29" t="s">
        <v>308</v>
      </c>
      <c r="I56" s="1" t="s">
        <v>316</v>
      </c>
    </row>
    <row r="57" spans="1:9" x14ac:dyDescent="0.25">
      <c r="A57" s="7">
        <v>14</v>
      </c>
      <c r="B57" s="27" t="s">
        <v>209</v>
      </c>
      <c r="C57" s="27" t="s">
        <v>210</v>
      </c>
      <c r="D57" s="27" t="s">
        <v>211</v>
      </c>
      <c r="E57" s="1" t="s">
        <v>15</v>
      </c>
      <c r="F57" s="7">
        <v>1</v>
      </c>
      <c r="G57" s="8" t="s">
        <v>9</v>
      </c>
      <c r="H57" s="29" t="s">
        <v>287</v>
      </c>
      <c r="I57" s="1" t="s">
        <v>317</v>
      </c>
    </row>
    <row r="58" spans="1:9" x14ac:dyDescent="0.25">
      <c r="A58" s="7">
        <v>14</v>
      </c>
      <c r="B58" s="27" t="s">
        <v>212</v>
      </c>
      <c r="C58" s="27" t="s">
        <v>213</v>
      </c>
      <c r="D58" s="27" t="s">
        <v>214</v>
      </c>
      <c r="E58" s="1" t="s">
        <v>15</v>
      </c>
      <c r="F58" s="7">
        <v>1</v>
      </c>
      <c r="G58" s="8" t="s">
        <v>9</v>
      </c>
      <c r="H58" s="29" t="s">
        <v>287</v>
      </c>
      <c r="I58" s="1" t="s">
        <v>317</v>
      </c>
    </row>
    <row r="59" spans="1:9" x14ac:dyDescent="0.25">
      <c r="A59" s="7">
        <v>14</v>
      </c>
      <c r="B59" s="27" t="s">
        <v>215</v>
      </c>
      <c r="C59" s="27" t="s">
        <v>216</v>
      </c>
      <c r="D59" s="27" t="s">
        <v>217</v>
      </c>
      <c r="E59" s="1" t="s">
        <v>15</v>
      </c>
      <c r="F59" s="7">
        <v>1</v>
      </c>
      <c r="G59" s="8" t="s">
        <v>9</v>
      </c>
      <c r="H59" s="29" t="s">
        <v>287</v>
      </c>
      <c r="I59" s="1" t="s">
        <v>317</v>
      </c>
    </row>
    <row r="60" spans="1:9" x14ac:dyDescent="0.25">
      <c r="A60" s="7">
        <v>14</v>
      </c>
      <c r="B60" s="27" t="s">
        <v>218</v>
      </c>
      <c r="C60" s="27" t="s">
        <v>219</v>
      </c>
      <c r="D60" s="27" t="s">
        <v>220</v>
      </c>
      <c r="E60" s="1" t="s">
        <v>15</v>
      </c>
      <c r="F60" s="7">
        <v>1</v>
      </c>
      <c r="G60" s="8" t="s">
        <v>9</v>
      </c>
      <c r="H60" s="29" t="s">
        <v>287</v>
      </c>
      <c r="I60" s="1" t="s">
        <v>317</v>
      </c>
    </row>
    <row r="61" spans="1:9" x14ac:dyDescent="0.25">
      <c r="A61" s="7">
        <v>14</v>
      </c>
      <c r="B61" s="27" t="s">
        <v>221</v>
      </c>
      <c r="C61" s="27" t="s">
        <v>222</v>
      </c>
      <c r="D61" s="27" t="s">
        <v>223</v>
      </c>
      <c r="E61" s="1" t="s">
        <v>15</v>
      </c>
      <c r="F61" s="7">
        <v>1</v>
      </c>
      <c r="G61" s="8" t="s">
        <v>9</v>
      </c>
      <c r="H61" s="29" t="s">
        <v>288</v>
      </c>
      <c r="I61" s="1" t="s">
        <v>318</v>
      </c>
    </row>
    <row r="62" spans="1:9" x14ac:dyDescent="0.25">
      <c r="A62" s="7">
        <v>14</v>
      </c>
      <c r="B62" s="27" t="s">
        <v>224</v>
      </c>
      <c r="C62" s="27" t="s">
        <v>225</v>
      </c>
      <c r="D62" s="27" t="s">
        <v>226</v>
      </c>
      <c r="E62" s="1" t="s">
        <v>15</v>
      </c>
      <c r="F62" s="7">
        <v>1</v>
      </c>
      <c r="G62" s="8" t="s">
        <v>9</v>
      </c>
      <c r="H62" s="29" t="s">
        <v>288</v>
      </c>
      <c r="I62" s="1" t="s">
        <v>318</v>
      </c>
    </row>
    <row r="63" spans="1:9" x14ac:dyDescent="0.25">
      <c r="A63" s="7">
        <v>14</v>
      </c>
      <c r="B63" s="27" t="s">
        <v>227</v>
      </c>
      <c r="C63" s="27" t="s">
        <v>228</v>
      </c>
      <c r="D63" s="27" t="s">
        <v>229</v>
      </c>
      <c r="E63" s="1" t="s">
        <v>15</v>
      </c>
      <c r="F63" s="7">
        <v>1</v>
      </c>
      <c r="G63" s="8" t="s">
        <v>9</v>
      </c>
      <c r="H63" s="29" t="s">
        <v>288</v>
      </c>
      <c r="I63" s="1" t="s">
        <v>318</v>
      </c>
    </row>
    <row r="64" spans="1:9" x14ac:dyDescent="0.25">
      <c r="A64" s="7">
        <v>14</v>
      </c>
      <c r="B64" s="27" t="s">
        <v>230</v>
      </c>
      <c r="C64" s="27" t="s">
        <v>231</v>
      </c>
      <c r="D64" s="27" t="s">
        <v>232</v>
      </c>
      <c r="E64" s="1" t="s">
        <v>15</v>
      </c>
      <c r="F64" s="7">
        <v>1</v>
      </c>
      <c r="G64" s="8" t="s">
        <v>9</v>
      </c>
      <c r="H64" s="29" t="s">
        <v>288</v>
      </c>
      <c r="I64" s="1" t="s">
        <v>318</v>
      </c>
    </row>
    <row r="65" spans="1:9" x14ac:dyDescent="0.25">
      <c r="A65" s="7">
        <v>14</v>
      </c>
      <c r="B65" s="27" t="s">
        <v>233</v>
      </c>
      <c r="C65" s="27" t="s">
        <v>234</v>
      </c>
      <c r="D65" s="27" t="s">
        <v>235</v>
      </c>
      <c r="E65" s="1" t="s">
        <v>15</v>
      </c>
      <c r="F65" s="7">
        <v>1</v>
      </c>
      <c r="G65" s="8" t="s">
        <v>9</v>
      </c>
      <c r="H65" s="29" t="s">
        <v>295</v>
      </c>
      <c r="I65" s="1" t="s">
        <v>319</v>
      </c>
    </row>
    <row r="66" spans="1:9" x14ac:dyDescent="0.25">
      <c r="A66" s="7">
        <v>14</v>
      </c>
      <c r="B66" s="27" t="s">
        <v>236</v>
      </c>
      <c r="C66" s="27" t="s">
        <v>237</v>
      </c>
      <c r="D66" s="27" t="s">
        <v>238</v>
      </c>
      <c r="E66" s="1" t="s">
        <v>15</v>
      </c>
      <c r="F66" s="7">
        <v>1</v>
      </c>
      <c r="G66" s="8" t="s">
        <v>9</v>
      </c>
      <c r="H66" s="29" t="s">
        <v>295</v>
      </c>
      <c r="I66" s="1" t="s">
        <v>319</v>
      </c>
    </row>
    <row r="67" spans="1:9" x14ac:dyDescent="0.25">
      <c r="A67" s="7">
        <v>14</v>
      </c>
      <c r="B67" s="27" t="s">
        <v>239</v>
      </c>
      <c r="C67" s="27" t="s">
        <v>240</v>
      </c>
      <c r="D67" s="27" t="s">
        <v>241</v>
      </c>
      <c r="E67" s="1" t="s">
        <v>15</v>
      </c>
      <c r="F67" s="7">
        <v>1</v>
      </c>
      <c r="G67" s="8" t="s">
        <v>9</v>
      </c>
      <c r="H67" s="29" t="s">
        <v>295</v>
      </c>
      <c r="I67" s="1" t="s">
        <v>319</v>
      </c>
    </row>
    <row r="68" spans="1:9" x14ac:dyDescent="0.25">
      <c r="A68" s="7">
        <v>14</v>
      </c>
      <c r="B68" s="27" t="s">
        <v>242</v>
      </c>
      <c r="C68" s="27" t="s">
        <v>243</v>
      </c>
      <c r="D68" s="27" t="s">
        <v>244</v>
      </c>
      <c r="E68" s="1" t="s">
        <v>15</v>
      </c>
      <c r="F68" s="7">
        <v>1</v>
      </c>
      <c r="G68" s="8" t="s">
        <v>9</v>
      </c>
      <c r="H68" s="29" t="s">
        <v>295</v>
      </c>
      <c r="I68" s="1" t="s">
        <v>319</v>
      </c>
    </row>
    <row r="69" spans="1:9" x14ac:dyDescent="0.25">
      <c r="A69" s="7">
        <v>14</v>
      </c>
      <c r="B69" s="27" t="s">
        <v>245</v>
      </c>
      <c r="C69" s="27" t="s">
        <v>246</v>
      </c>
      <c r="D69" s="27" t="s">
        <v>247</v>
      </c>
      <c r="E69" s="1" t="s">
        <v>15</v>
      </c>
      <c r="F69" s="7">
        <v>1</v>
      </c>
      <c r="G69" s="8" t="s">
        <v>9</v>
      </c>
      <c r="H69" s="29" t="s">
        <v>320</v>
      </c>
      <c r="I69" s="1" t="s">
        <v>321</v>
      </c>
    </row>
    <row r="70" spans="1:9" x14ac:dyDescent="0.25">
      <c r="A70" s="7">
        <v>14</v>
      </c>
      <c r="B70" s="27" t="s">
        <v>248</v>
      </c>
      <c r="C70" s="27" t="s">
        <v>249</v>
      </c>
      <c r="D70" s="27" t="s">
        <v>250</v>
      </c>
      <c r="E70" s="1" t="s">
        <v>15</v>
      </c>
      <c r="F70" s="7">
        <v>1</v>
      </c>
      <c r="G70" s="8" t="s">
        <v>9</v>
      </c>
      <c r="H70" s="29" t="s">
        <v>320</v>
      </c>
      <c r="I70" s="1" t="s">
        <v>321</v>
      </c>
    </row>
    <row r="71" spans="1:9" x14ac:dyDescent="0.25">
      <c r="A71" s="7">
        <v>14</v>
      </c>
      <c r="B71" s="27" t="s">
        <v>251</v>
      </c>
      <c r="C71" s="27" t="s">
        <v>252</v>
      </c>
      <c r="D71" s="28">
        <v>1755704956</v>
      </c>
      <c r="E71" s="1" t="s">
        <v>15</v>
      </c>
      <c r="F71" s="7">
        <v>1</v>
      </c>
      <c r="G71" s="8" t="s">
        <v>9</v>
      </c>
      <c r="H71" s="29" t="s">
        <v>320</v>
      </c>
      <c r="I71" s="1" t="s">
        <v>321</v>
      </c>
    </row>
    <row r="72" spans="1:9" x14ac:dyDescent="0.25">
      <c r="A72" s="7">
        <v>14</v>
      </c>
      <c r="B72" s="27" t="s">
        <v>253</v>
      </c>
      <c r="C72" s="27" t="s">
        <v>254</v>
      </c>
      <c r="D72" s="27" t="s">
        <v>255</v>
      </c>
      <c r="E72" s="1" t="s">
        <v>15</v>
      </c>
      <c r="F72" s="7">
        <v>1</v>
      </c>
      <c r="G72" s="8" t="s">
        <v>9</v>
      </c>
      <c r="H72" s="29" t="s">
        <v>289</v>
      </c>
      <c r="I72" s="1" t="s">
        <v>322</v>
      </c>
    </row>
    <row r="73" spans="1:9" x14ac:dyDescent="0.25">
      <c r="A73" s="7">
        <v>14</v>
      </c>
      <c r="B73" s="27" t="s">
        <v>256</v>
      </c>
      <c r="C73" s="27" t="s">
        <v>257</v>
      </c>
      <c r="D73" s="27" t="s">
        <v>258</v>
      </c>
      <c r="E73" s="1" t="s">
        <v>15</v>
      </c>
      <c r="F73" s="7">
        <v>1</v>
      </c>
      <c r="G73" s="8" t="s">
        <v>9</v>
      </c>
      <c r="H73" s="29" t="s">
        <v>289</v>
      </c>
      <c r="I73" s="1" t="s">
        <v>322</v>
      </c>
    </row>
    <row r="74" spans="1:9" x14ac:dyDescent="0.25">
      <c r="A74" s="7">
        <v>14</v>
      </c>
      <c r="B74" s="27" t="s">
        <v>259</v>
      </c>
      <c r="C74" s="27" t="s">
        <v>260</v>
      </c>
      <c r="D74" s="27" t="s">
        <v>261</v>
      </c>
      <c r="E74" s="1" t="s">
        <v>15</v>
      </c>
      <c r="F74" s="7">
        <v>1</v>
      </c>
      <c r="G74" s="8" t="s">
        <v>9</v>
      </c>
      <c r="H74" s="29" t="s">
        <v>289</v>
      </c>
      <c r="I74" s="1" t="s">
        <v>322</v>
      </c>
    </row>
    <row r="75" spans="1:9" x14ac:dyDescent="0.25">
      <c r="A75" s="7">
        <v>14</v>
      </c>
      <c r="B75" s="27" t="s">
        <v>262</v>
      </c>
      <c r="C75" s="27" t="s">
        <v>263</v>
      </c>
      <c r="D75" s="27" t="s">
        <v>264</v>
      </c>
      <c r="E75" s="1" t="s">
        <v>15</v>
      </c>
      <c r="F75" s="7">
        <v>1</v>
      </c>
      <c r="G75" s="8" t="s">
        <v>9</v>
      </c>
      <c r="H75" s="29" t="s">
        <v>281</v>
      </c>
      <c r="I75" s="1" t="s">
        <v>323</v>
      </c>
    </row>
    <row r="76" spans="1:9" x14ac:dyDescent="0.25">
      <c r="A76" s="7">
        <v>14</v>
      </c>
      <c r="B76" s="27" t="s">
        <v>265</v>
      </c>
      <c r="C76" s="27" t="s">
        <v>266</v>
      </c>
      <c r="D76" s="27" t="s">
        <v>267</v>
      </c>
      <c r="E76" s="1" t="s">
        <v>15</v>
      </c>
      <c r="F76" s="7">
        <v>1</v>
      </c>
      <c r="G76" s="8" t="s">
        <v>9</v>
      </c>
      <c r="H76" s="29" t="s">
        <v>281</v>
      </c>
      <c r="I76" s="1" t="s">
        <v>323</v>
      </c>
    </row>
    <row r="77" spans="1:9" x14ac:dyDescent="0.25">
      <c r="A77" s="7">
        <v>14</v>
      </c>
      <c r="B77" s="27" t="s">
        <v>268</v>
      </c>
      <c r="C77" s="27" t="s">
        <v>269</v>
      </c>
      <c r="D77" s="27" t="s">
        <v>270</v>
      </c>
      <c r="E77" s="1" t="s">
        <v>15</v>
      </c>
      <c r="F77" s="7">
        <v>1</v>
      </c>
      <c r="G77" s="8" t="s">
        <v>9</v>
      </c>
      <c r="H77" s="29" t="s">
        <v>281</v>
      </c>
      <c r="I77" s="1" t="s">
        <v>323</v>
      </c>
    </row>
    <row r="78" spans="1:9" x14ac:dyDescent="0.25">
      <c r="A78" s="7">
        <v>14</v>
      </c>
      <c r="B78" s="27" t="s">
        <v>271</v>
      </c>
      <c r="C78" s="27" t="s">
        <v>272</v>
      </c>
      <c r="D78" s="27" t="s">
        <v>273</v>
      </c>
      <c r="E78" s="1" t="s">
        <v>15</v>
      </c>
      <c r="F78" s="7">
        <v>1</v>
      </c>
      <c r="G78" s="8" t="s">
        <v>9</v>
      </c>
      <c r="H78" s="29" t="s">
        <v>282</v>
      </c>
      <c r="I78" s="1" t="s">
        <v>324</v>
      </c>
    </row>
    <row r="79" spans="1:9" x14ac:dyDescent="0.25">
      <c r="A79" s="7">
        <v>14</v>
      </c>
      <c r="B79" s="27" t="s">
        <v>274</v>
      </c>
      <c r="C79" s="27" t="s">
        <v>275</v>
      </c>
      <c r="D79" s="27" t="s">
        <v>276</v>
      </c>
      <c r="E79" s="1" t="s">
        <v>15</v>
      </c>
      <c r="F79" s="7">
        <v>1</v>
      </c>
      <c r="G79" s="8" t="s">
        <v>9</v>
      </c>
      <c r="H79" s="29" t="s">
        <v>282</v>
      </c>
      <c r="I79" s="1" t="s">
        <v>324</v>
      </c>
    </row>
    <row r="80" spans="1:9" x14ac:dyDescent="0.25">
      <c r="A80" s="7">
        <v>14</v>
      </c>
      <c r="B80" s="27" t="s">
        <v>277</v>
      </c>
      <c r="C80" s="27" t="s">
        <v>278</v>
      </c>
      <c r="D80" s="28">
        <v>1725219675</v>
      </c>
      <c r="E80" s="1" t="s">
        <v>15</v>
      </c>
      <c r="F80" s="7">
        <v>1</v>
      </c>
      <c r="G80" s="8" t="s">
        <v>9</v>
      </c>
      <c r="H80" s="29" t="s">
        <v>282</v>
      </c>
      <c r="I80" s="1" t="s">
        <v>324</v>
      </c>
    </row>
  </sheetData>
  <conditionalFormatting sqref="C2">
    <cfRule type="duplicateValues" dxfId="3" priority="529"/>
    <cfRule type="duplicateValues" dxfId="2" priority="530"/>
    <cfRule type="duplicateValues" dxfId="1" priority="531"/>
  </conditionalFormatting>
  <conditionalFormatting sqref="A1:G1 I2:J2 E2:G80 A2:A80 H1:I80">
    <cfRule type="duplicateValues" dxfId="0" priority="560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6"/>
  <sheetViews>
    <sheetView topLeftCell="A10" workbookViewId="0">
      <selection activeCell="B24" sqref="B24"/>
    </sheetView>
  </sheetViews>
  <sheetFormatPr defaultRowHeight="15" x14ac:dyDescent="0.25"/>
  <cols>
    <col min="1" max="1" width="16.7109375" style="14" customWidth="1"/>
    <col min="2" max="2" width="29.28515625" style="14" customWidth="1"/>
    <col min="3" max="3" width="5.7109375" style="14" customWidth="1"/>
    <col min="4" max="4" width="17.5703125" style="14" customWidth="1"/>
    <col min="5" max="16384" width="9.140625" style="13"/>
  </cols>
  <sheetData>
    <row r="1" spans="1:4" s="11" customFormat="1" ht="19.5" x14ac:dyDescent="0.25">
      <c r="A1" s="19" t="s">
        <v>10</v>
      </c>
      <c r="B1" s="9" t="s">
        <v>19</v>
      </c>
      <c r="C1" s="9" t="s">
        <v>45</v>
      </c>
      <c r="D1" s="10" t="s">
        <v>11</v>
      </c>
    </row>
    <row r="2" spans="1:4" s="24" customFormat="1" ht="19.5" x14ac:dyDescent="0.3">
      <c r="A2" s="32" t="s">
        <v>39</v>
      </c>
      <c r="B2" s="30" t="s">
        <v>22</v>
      </c>
      <c r="C2" s="23">
        <v>4</v>
      </c>
      <c r="D2" s="23">
        <v>4</v>
      </c>
    </row>
    <row r="3" spans="1:4" s="24" customFormat="1" ht="19.5" x14ac:dyDescent="0.3">
      <c r="A3" s="33"/>
      <c r="B3" s="30" t="s">
        <v>40</v>
      </c>
      <c r="C3" s="23">
        <v>20</v>
      </c>
      <c r="D3" s="23">
        <f>D$2</f>
        <v>4</v>
      </c>
    </row>
    <row r="4" spans="1:4" s="24" customFormat="1" ht="19.5" x14ac:dyDescent="0.3">
      <c r="A4" s="33"/>
      <c r="B4" s="30" t="s">
        <v>30</v>
      </c>
      <c r="C4" s="23">
        <v>21</v>
      </c>
      <c r="D4" s="23">
        <f t="shared" ref="D4:D5" si="0">D$2</f>
        <v>4</v>
      </c>
    </row>
    <row r="5" spans="1:4" s="24" customFormat="1" ht="19.5" x14ac:dyDescent="0.3">
      <c r="A5" s="34"/>
      <c r="B5" s="30" t="s">
        <v>20</v>
      </c>
      <c r="C5" s="23">
        <v>19</v>
      </c>
      <c r="D5" s="23">
        <f t="shared" si="0"/>
        <v>4</v>
      </c>
    </row>
    <row r="6" spans="1:4" s="24" customFormat="1" ht="19.5" x14ac:dyDescent="0.3">
      <c r="A6" s="32" t="s">
        <v>41</v>
      </c>
      <c r="B6" s="30" t="s">
        <v>21</v>
      </c>
      <c r="C6" s="23">
        <v>13</v>
      </c>
      <c r="D6" s="23">
        <v>3</v>
      </c>
    </row>
    <row r="7" spans="1:4" s="24" customFormat="1" ht="19.5" x14ac:dyDescent="0.3">
      <c r="A7" s="33"/>
      <c r="B7" s="30" t="s">
        <v>31</v>
      </c>
      <c r="C7" s="23">
        <v>33</v>
      </c>
      <c r="D7" s="23">
        <f>D$6</f>
        <v>3</v>
      </c>
    </row>
    <row r="8" spans="1:4" s="24" customFormat="1" ht="19.5" x14ac:dyDescent="0.3">
      <c r="A8" s="33"/>
      <c r="B8" s="30" t="s">
        <v>37</v>
      </c>
      <c r="C8" s="23">
        <v>31</v>
      </c>
      <c r="D8" s="23">
        <f t="shared" ref="D8:D9" si="1">D$6</f>
        <v>3</v>
      </c>
    </row>
    <row r="9" spans="1:4" s="24" customFormat="1" ht="19.5" x14ac:dyDescent="0.3">
      <c r="A9" s="34"/>
      <c r="B9" s="31" t="s">
        <v>18</v>
      </c>
      <c r="C9" s="25">
        <v>12</v>
      </c>
      <c r="D9" s="23">
        <f t="shared" si="1"/>
        <v>3</v>
      </c>
    </row>
    <row r="10" spans="1:4" s="24" customFormat="1" ht="19.5" x14ac:dyDescent="0.3">
      <c r="A10" s="32" t="s">
        <v>12</v>
      </c>
      <c r="B10" s="30" t="s">
        <v>17</v>
      </c>
      <c r="C10" s="23">
        <v>7</v>
      </c>
      <c r="D10" s="23">
        <v>2</v>
      </c>
    </row>
    <row r="11" spans="1:4" s="24" customFormat="1" ht="19.5" x14ac:dyDescent="0.3">
      <c r="A11" s="34"/>
      <c r="B11" s="31" t="s">
        <v>42</v>
      </c>
      <c r="C11" s="25">
        <v>5</v>
      </c>
      <c r="D11" s="23">
        <v>3</v>
      </c>
    </row>
    <row r="12" spans="1:4" s="24" customFormat="1" ht="19.5" x14ac:dyDescent="0.3">
      <c r="A12" s="32" t="s">
        <v>43</v>
      </c>
      <c r="B12" s="30" t="s">
        <v>23</v>
      </c>
      <c r="C12" s="23">
        <v>17</v>
      </c>
      <c r="D12" s="23">
        <v>3</v>
      </c>
    </row>
    <row r="13" spans="1:4" s="24" customFormat="1" ht="19.5" x14ac:dyDescent="0.3">
      <c r="A13" s="33"/>
      <c r="B13" s="30" t="s">
        <v>24</v>
      </c>
      <c r="C13" s="23">
        <v>9</v>
      </c>
      <c r="D13" s="23">
        <f>D$12</f>
        <v>3</v>
      </c>
    </row>
    <row r="14" spans="1:4" s="24" customFormat="1" ht="19.5" x14ac:dyDescent="0.3">
      <c r="A14" s="33"/>
      <c r="B14" s="30" t="s">
        <v>25</v>
      </c>
      <c r="C14" s="23">
        <v>6</v>
      </c>
      <c r="D14" s="23">
        <f t="shared" ref="D14:D17" si="2">D$12</f>
        <v>3</v>
      </c>
    </row>
    <row r="15" spans="1:4" s="24" customFormat="1" ht="19.5" x14ac:dyDescent="0.3">
      <c r="A15" s="33"/>
      <c r="B15" s="30" t="s">
        <v>26</v>
      </c>
      <c r="C15" s="23">
        <v>27</v>
      </c>
      <c r="D15" s="23">
        <f t="shared" si="2"/>
        <v>3</v>
      </c>
    </row>
    <row r="16" spans="1:4" s="24" customFormat="1" ht="19.5" x14ac:dyDescent="0.3">
      <c r="A16" s="33"/>
      <c r="B16" s="30" t="s">
        <v>27</v>
      </c>
      <c r="C16" s="23">
        <v>26</v>
      </c>
      <c r="D16" s="23">
        <f t="shared" si="2"/>
        <v>3</v>
      </c>
    </row>
    <row r="17" spans="1:8" s="24" customFormat="1" ht="19.5" x14ac:dyDescent="0.3">
      <c r="A17" s="34"/>
      <c r="B17" s="30" t="s">
        <v>29</v>
      </c>
      <c r="C17" s="23">
        <v>18</v>
      </c>
      <c r="D17" s="23">
        <f t="shared" si="2"/>
        <v>3</v>
      </c>
    </row>
    <row r="18" spans="1:8" s="24" customFormat="1" ht="19.5" x14ac:dyDescent="0.3">
      <c r="A18" s="32" t="s">
        <v>44</v>
      </c>
      <c r="B18" s="30" t="s">
        <v>34</v>
      </c>
      <c r="C18" s="23">
        <v>8</v>
      </c>
      <c r="D18" s="23">
        <v>4</v>
      </c>
    </row>
    <row r="19" spans="1:8" s="24" customFormat="1" ht="19.5" x14ac:dyDescent="0.3">
      <c r="A19" s="33"/>
      <c r="B19" s="30" t="s">
        <v>32</v>
      </c>
      <c r="C19" s="23">
        <v>34</v>
      </c>
      <c r="D19" s="23">
        <f>D$18</f>
        <v>4</v>
      </c>
      <c r="G19" s="24">
        <f>79-D26</f>
        <v>0</v>
      </c>
      <c r="H19" s="24">
        <f>353/23</f>
        <v>15.347826086956522</v>
      </c>
    </row>
    <row r="20" spans="1:8" s="24" customFormat="1" ht="19.5" x14ac:dyDescent="0.3">
      <c r="A20" s="33"/>
      <c r="B20" s="30" t="s">
        <v>33</v>
      </c>
      <c r="C20" s="23">
        <v>35</v>
      </c>
      <c r="D20" s="23">
        <f t="shared" ref="D20:D21" si="3">D$18</f>
        <v>4</v>
      </c>
    </row>
    <row r="21" spans="1:8" s="24" customFormat="1" ht="19.5" x14ac:dyDescent="0.3">
      <c r="A21" s="34"/>
      <c r="B21" s="30" t="s">
        <v>28</v>
      </c>
      <c r="C21" s="23">
        <v>11</v>
      </c>
      <c r="D21" s="23">
        <f t="shared" si="3"/>
        <v>4</v>
      </c>
    </row>
    <row r="22" spans="1:8" s="24" customFormat="1" ht="19.5" x14ac:dyDescent="0.3">
      <c r="A22" s="32" t="s">
        <v>13</v>
      </c>
      <c r="B22" s="30" t="s">
        <v>35</v>
      </c>
      <c r="C22" s="23">
        <v>10</v>
      </c>
      <c r="D22" s="23">
        <v>3</v>
      </c>
    </row>
    <row r="23" spans="1:8" s="24" customFormat="1" ht="19.5" x14ac:dyDescent="0.3">
      <c r="A23" s="33"/>
      <c r="B23" s="30" t="s">
        <v>48</v>
      </c>
      <c r="C23" s="23">
        <v>36</v>
      </c>
      <c r="D23" s="23">
        <f>D$22</f>
        <v>3</v>
      </c>
    </row>
    <row r="24" spans="1:8" s="24" customFormat="1" ht="19.5" x14ac:dyDescent="0.3">
      <c r="A24" s="34"/>
      <c r="B24" s="22" t="s">
        <v>38</v>
      </c>
      <c r="C24" s="23">
        <v>24</v>
      </c>
      <c r="D24" s="23">
        <f>D$22</f>
        <v>3</v>
      </c>
    </row>
    <row r="25" spans="1:8" s="24" customFormat="1" ht="19.5" x14ac:dyDescent="0.3">
      <c r="A25" s="26" t="s">
        <v>14</v>
      </c>
      <c r="B25" s="22" t="s">
        <v>36</v>
      </c>
      <c r="C25" s="23">
        <v>25</v>
      </c>
      <c r="D25" s="23">
        <v>3</v>
      </c>
    </row>
    <row r="26" spans="1:8" ht="19.5" x14ac:dyDescent="0.3">
      <c r="A26" s="21"/>
      <c r="B26" s="12">
        <f>COUNTA(B2:B25)</f>
        <v>24</v>
      </c>
      <c r="C26" s="12"/>
      <c r="D26" s="20">
        <f>SUM(D2:D25)</f>
        <v>79</v>
      </c>
    </row>
  </sheetData>
  <mergeCells count="6">
    <mergeCell ref="A18:A21"/>
    <mergeCell ref="A22:A24"/>
    <mergeCell ref="A2:A5"/>
    <mergeCell ref="A6:A9"/>
    <mergeCell ref="A10:A11"/>
    <mergeCell ref="A12:A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Distribution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User</cp:lastModifiedBy>
  <dcterms:created xsi:type="dcterms:W3CDTF">2021-06-27T04:52:09Z</dcterms:created>
  <dcterms:modified xsi:type="dcterms:W3CDTF">2021-10-02T08:31:01Z</dcterms:modified>
</cp:coreProperties>
</file>