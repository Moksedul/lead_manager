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Apartment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D2" i="1" l="1"/>
  <c r="B26" i="3" l="1"/>
  <c r="H19" i="3" l="1"/>
  <c r="D26" i="3" l="1"/>
  <c r="G19" i="3" s="1"/>
</calcChain>
</file>

<file path=xl/sharedStrings.xml><?xml version="1.0" encoding="utf-8"?>
<sst xmlns="http://schemas.openxmlformats.org/spreadsheetml/2006/main" count="377" uniqueCount="206">
  <si>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</si>
  <si>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</si>
  <si>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</si>
  <si>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</si>
  <si>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</si>
  <si>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</si>
  <si>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</si>
  <si>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</si>
  <si>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</si>
  <si>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Facebook Ad</t>
  </si>
  <si>
    <t>Team Name</t>
  </si>
  <si>
    <t>Leads</t>
  </si>
  <si>
    <t>Dulal</t>
  </si>
  <si>
    <t>Zaki</t>
  </si>
  <si>
    <t>Shahinoor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</si>
  <si>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</si>
  <si>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</si>
  <si>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</si>
  <si>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</si>
  <si>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</si>
  <si>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</si>
  <si>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</si>
  <si>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</si>
  <si>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</si>
  <si>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</si>
  <si>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</si>
  <si>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</si>
  <si>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</si>
  <si>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</si>
  <si>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</si>
  <si>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</si>
  <si>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</si>
  <si>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</si>
  <si>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</si>
  <si>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</si>
  <si>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</si>
  <si>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</si>
  <si>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</si>
  <si>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</si>
  <si>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</si>
  <si>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</si>
  <si>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</si>
  <si>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</si>
  <si>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</si>
  <si>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</si>
  <si>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zakirvictory79@gmail.com</t>
  </si>
  <si>
    <t>Md.Faried Ahmed Asif</t>
  </si>
  <si>
    <t>asifpriya526@gmail.com</t>
  </si>
  <si>
    <t>pranto</t>
  </si>
  <si>
    <t>Sayanta Roy</t>
  </si>
  <si>
    <t>skroy15@yahoo.com</t>
  </si>
  <si>
    <t>+8801911504444</t>
  </si>
  <si>
    <t>Bidyut Ab</t>
  </si>
  <si>
    <t>bidyutkumar15@yahoo.com</t>
  </si>
  <si>
    <t>+8801711871478</t>
  </si>
  <si>
    <t>Rakibul Islam</t>
  </si>
  <si>
    <t>rakib.titas@gmail.com</t>
  </si>
  <si>
    <t>+88001717287920</t>
  </si>
  <si>
    <t>Mahmudul Hoque</t>
  </si>
  <si>
    <t>mahmudulhoque251@gmail.com</t>
  </si>
  <si>
    <t>+8801920479695</t>
  </si>
  <si>
    <t>Md.Abdur Razzaque Raju</t>
  </si>
  <si>
    <t>raju2005@gmail.com</t>
  </si>
  <si>
    <t>+8801716747101</t>
  </si>
  <si>
    <t>Shahadat Hossain</t>
  </si>
  <si>
    <t>mshahadatsumon78@gmail.com</t>
  </si>
  <si>
    <t>+8801624711345</t>
  </si>
  <si>
    <t>Mahbub Alam</t>
  </si>
  <si>
    <t>mahabubalam1143@gmail.com</t>
  </si>
  <si>
    <t>+966546212730</t>
  </si>
  <si>
    <t>Prapti BD</t>
  </si>
  <si>
    <t>mchy1978@gmail.com</t>
  </si>
  <si>
    <t>+8801886041528</t>
  </si>
  <si>
    <t>md. mafuz biswas</t>
  </si>
  <si>
    <t>mafuzbiswas1234@gmail.com</t>
  </si>
  <si>
    <t>+8801712103482</t>
  </si>
  <si>
    <t>Evan Ashfaq</t>
  </si>
  <si>
    <t>evan.ashfaqul@gmail.com</t>
  </si>
  <si>
    <t>+8801673893086</t>
  </si>
  <si>
    <t>Rashed Iqbal</t>
  </si>
  <si>
    <t>iqbalrashed398@gmail.com</t>
  </si>
  <si>
    <t>+818047264207</t>
  </si>
  <si>
    <t>Anisur Rahman</t>
  </si>
  <si>
    <t>masumucb@gmail.com</t>
  </si>
  <si>
    <t>+8801913497745</t>
  </si>
  <si>
    <t>bosotiartisan@gmail.com</t>
  </si>
  <si>
    <t>M H Chowdhury Daffodil</t>
  </si>
  <si>
    <t>daffodil_electricco@hotmail.com</t>
  </si>
  <si>
    <t>+8801713012708</t>
  </si>
  <si>
    <t>S M Rezaul Karim</t>
  </si>
  <si>
    <t>rezaul@blast.org.bd</t>
  </si>
  <si>
    <t>Mahbubul Haque</t>
  </si>
  <si>
    <t>mahbubulbgfcl@gmail.com</t>
  </si>
  <si>
    <t>+8801715511805</t>
  </si>
  <si>
    <t>Golam Mostafa</t>
  </si>
  <si>
    <t>mgolammostafa22@gmail.com</t>
  </si>
  <si>
    <t>+8801711155021</t>
  </si>
  <si>
    <t>Pervez Hossan</t>
  </si>
  <si>
    <t>pervez.karateka@gmail.com</t>
  </si>
  <si>
    <t>+8801553287708</t>
  </si>
  <si>
    <t>Asm Golam Azam Bhuiyan</t>
  </si>
  <si>
    <t>asmazam6485@gmail.com</t>
  </si>
  <si>
    <t>+8801883332291</t>
  </si>
  <si>
    <t>AR Salman</t>
  </si>
  <si>
    <t>salmandac@yahoo.com</t>
  </si>
  <si>
    <t>+8801841339933</t>
  </si>
  <si>
    <t>Emdad Sbl</t>
  </si>
  <si>
    <t>emdadulhoq371@yahoo.com</t>
  </si>
  <si>
    <t>+8801721312511</t>
  </si>
  <si>
    <t>Polash Chy</t>
  </si>
  <si>
    <t>polashchy135@gmail.com</t>
  </si>
  <si>
    <t>+8801710930056</t>
  </si>
  <si>
    <t>ণাছির হা</t>
  </si>
  <si>
    <t>mdnasirhawladir775@gmail.com</t>
  </si>
  <si>
    <t>+8801721318886</t>
  </si>
  <si>
    <t>Mahbubur Rahman</t>
  </si>
  <si>
    <t>bashamia3812@gmail.com</t>
  </si>
  <si>
    <t>+8801703033812</t>
  </si>
  <si>
    <t>Lokman Hakim</t>
  </si>
  <si>
    <t>hakimlokman9876531@gmail.com</t>
  </si>
  <si>
    <t>+8801767751165</t>
  </si>
  <si>
    <t>Monir Ahmed</t>
  </si>
  <si>
    <t>ahmedmonirbhuyain22@gmail.com</t>
  </si>
  <si>
    <t>+8801711525127</t>
  </si>
  <si>
    <t>Abir Hossain</t>
  </si>
  <si>
    <t>abir2151@gmail.com</t>
  </si>
  <si>
    <t>+8801912507584</t>
  </si>
  <si>
    <t>Raihan Chowdhury Mamun</t>
  </si>
  <si>
    <t>rcmamun7@gmail.com</t>
  </si>
  <si>
    <t>+8801819439665</t>
  </si>
  <si>
    <t>Saiful Azam</t>
  </si>
  <si>
    <t>saiful.azam_123@yahoo.com</t>
  </si>
  <si>
    <t>+8801743038326</t>
  </si>
  <si>
    <t>h.shahadat02@gmail.com</t>
  </si>
  <si>
    <t>+8801911639335</t>
  </si>
  <si>
    <t>MD Jahangir Bapsa</t>
  </si>
  <si>
    <t>bapsamdjahangiralam@gmail.com</t>
  </si>
  <si>
    <t>+8801315579302</t>
  </si>
  <si>
    <t>Md Azmat Ali</t>
  </si>
  <si>
    <t>newagegroup487@gmail.com</t>
  </si>
  <si>
    <t>+8801941717778</t>
  </si>
  <si>
    <t>Iqbal Hossin</t>
  </si>
  <si>
    <t>iqbalhussian9495@gmail.com</t>
  </si>
  <si>
    <t>+96599530776</t>
  </si>
  <si>
    <t>Abu Karim</t>
  </si>
  <si>
    <t>abuzaforfazlulkarim@gmail.com</t>
  </si>
  <si>
    <t>+8801313420930</t>
  </si>
  <si>
    <t>মোঃ অালমগীর হোসেন</t>
  </si>
  <si>
    <t>alogirahamed99@gmail.com</t>
  </si>
  <si>
    <t>+8801918056219</t>
  </si>
  <si>
    <t>Yousuf Snikda</t>
  </si>
  <si>
    <t>yousufsnikda@gmail.com</t>
  </si>
  <si>
    <t>+8801305488305</t>
  </si>
  <si>
    <t>S M Jahangir</t>
  </si>
  <si>
    <t>smjahangirfe@gmail.com</t>
  </si>
  <si>
    <t>+8801769935867</t>
  </si>
  <si>
    <t>Engr Md Shariful Khan</t>
  </si>
  <si>
    <t>sharifkhan822@gmail.com</t>
  </si>
  <si>
    <t>+8801857177422</t>
  </si>
  <si>
    <t>S Haladar</t>
  </si>
  <si>
    <t>roinnoij@uu9in.kh</t>
  </si>
  <si>
    <t>Mdshariful Islam</t>
  </si>
  <si>
    <t>mdsharifulislamsharif53@gmail.com</t>
  </si>
  <si>
    <t>+8801552303302</t>
  </si>
  <si>
    <t>A.K.M.Ratan</t>
  </si>
  <si>
    <t>abu.kalam@gmail.com</t>
  </si>
  <si>
    <t>+8801712614942</t>
  </si>
  <si>
    <t>Fardeen</t>
  </si>
  <si>
    <t>fardeen@gmail.com</t>
  </si>
  <si>
    <t>+8801718312657</t>
  </si>
  <si>
    <t>Abu Saleh</t>
  </si>
  <si>
    <t>abu295547@gmail.com</t>
  </si>
  <si>
    <t>+8801843888280</t>
  </si>
  <si>
    <t>Nafisa Mullick</t>
  </si>
  <si>
    <t>nafisa.mullick@gmail.com</t>
  </si>
  <si>
    <t>+8801552202783</t>
  </si>
  <si>
    <t>Nasrin Joly</t>
  </si>
  <si>
    <t>nasrinjoly01@gmail.com</t>
  </si>
  <si>
    <t>+8801955694625</t>
  </si>
  <si>
    <t>Md Ashraf Ali Howlader</t>
  </si>
  <si>
    <t>ashrafhowlader59@gmail.com</t>
  </si>
  <si>
    <t>+8801712116828</t>
  </si>
  <si>
    <t>M Mostafiz AlRahman Nixon</t>
  </si>
  <si>
    <t>mostafiz.citp@gmail.com</t>
  </si>
  <si>
    <t>+8801312450077</t>
  </si>
  <si>
    <t>mynul huda sarder musa</t>
  </si>
  <si>
    <t>sardermusabarisal1964@gmail.com</t>
  </si>
  <si>
    <t>+8801711372470</t>
  </si>
  <si>
    <t>Md.Ziaur Rahman Mollah</t>
  </si>
  <si>
    <t>jiamollah@gmail.com</t>
  </si>
  <si>
    <t>+8801712524271</t>
  </si>
  <si>
    <t>Mdjahangirhossain Hossain</t>
  </si>
  <si>
    <t>mdjahangirhossainh937@gmail.com</t>
  </si>
  <si>
    <t>+971552162192</t>
  </si>
  <si>
    <t>Apartment</t>
  </si>
  <si>
    <t>habib</t>
  </si>
  <si>
    <t>12</t>
  </si>
  <si>
    <t>17</t>
  </si>
  <si>
    <t>atique</t>
  </si>
  <si>
    <t>8</t>
  </si>
  <si>
    <t>sagar</t>
  </si>
  <si>
    <t>jahedul</t>
  </si>
  <si>
    <t>zaki</t>
  </si>
  <si>
    <t>Zakir Hossain-</t>
  </si>
  <si>
    <t>88001799993511</t>
  </si>
  <si>
    <t>88001922888623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</si>
</sst>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6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0" fillId="0" borderId="0" xfId="0" applyNumberFormat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23" fillId="34" borderId="14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4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49" fontId="18" fillId="0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3"/>
  <sheetViews>
    <sheetView tabSelected="1" topLeftCell="A25" workbookViewId="0">
      <selection activeCell="D35" sqref="D35"/>
    </sheetView>
  </sheetViews>
  <sheetFormatPr defaultRowHeight="15" x14ac:dyDescent="0.25"/>
  <cols>
    <col min="1" max="1" width="9.140625" style="7"/>
    <col min="2" max="2" width="33" customWidth="1"/>
    <col min="3" max="3" width="20.85546875" style="16" customWidth="1"/>
    <col min="4" max="4" width="43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15</v>
      </c>
      <c r="B2" s="1" t="s">
        <v>203</v>
      </c>
      <c r="C2" s="27" t="s">
        <v>45</v>
      </c>
      <c r="D2" s="27">
        <f>+96590029015</f>
        <v>96590029015</v>
      </c>
      <c r="E2" s="1" t="s">
        <v>194</v>
      </c>
      <c r="F2" s="7">
        <v>1</v>
      </c>
      <c r="G2" s="8" t="s">
        <v>9</v>
      </c>
      <c r="H2" s="29">
        <v>4</v>
      </c>
      <c r="I2" s="1" t="s">
        <v>8</v>
      </c>
    </row>
    <row r="3" spans="1:9" x14ac:dyDescent="0.25">
      <c r="A3" s="7">
        <v>15</v>
      </c>
      <c r="B3" s="27" t="s">
        <v>49</v>
      </c>
      <c r="C3" s="27" t="s">
        <v>50</v>
      </c>
      <c r="D3" s="27" t="s">
        <v>51</v>
      </c>
      <c r="E3" s="1" t="s">
        <v>194</v>
      </c>
      <c r="F3" s="7">
        <v>1</v>
      </c>
      <c r="G3" s="8" t="s">
        <v>9</v>
      </c>
      <c r="H3" s="29">
        <v>4</v>
      </c>
      <c r="I3" s="1" t="s">
        <v>8</v>
      </c>
    </row>
    <row r="4" spans="1:9" x14ac:dyDescent="0.25">
      <c r="A4" s="7">
        <v>15</v>
      </c>
      <c r="B4" s="27" t="s">
        <v>52</v>
      </c>
      <c r="C4" s="27" t="s">
        <v>53</v>
      </c>
      <c r="D4" s="27" t="s">
        <v>54</v>
      </c>
      <c r="E4" s="1" t="s">
        <v>194</v>
      </c>
      <c r="F4" s="7">
        <v>1</v>
      </c>
      <c r="G4" s="8" t="s">
        <v>9</v>
      </c>
      <c r="H4" s="29">
        <v>4</v>
      </c>
      <c r="I4" s="1" t="s">
        <v>8</v>
      </c>
    </row>
    <row r="5" spans="1:9" x14ac:dyDescent="0.25">
      <c r="A5" s="7">
        <v>15</v>
      </c>
      <c r="B5" s="27" t="s">
        <v>55</v>
      </c>
      <c r="C5" s="27" t="s">
        <v>56</v>
      </c>
      <c r="D5" s="27" t="s">
        <v>57</v>
      </c>
      <c r="E5" s="1" t="s">
        <v>194</v>
      </c>
      <c r="F5" s="7">
        <v>1</v>
      </c>
      <c r="G5" s="8" t="s">
        <v>9</v>
      </c>
      <c r="H5" s="29">
        <v>4</v>
      </c>
      <c r="I5" s="1" t="s">
        <v>8</v>
      </c>
    </row>
    <row r="6" spans="1:9" x14ac:dyDescent="0.25">
      <c r="A6" s="7">
        <v>15</v>
      </c>
      <c r="B6" s="27" t="s">
        <v>58</v>
      </c>
      <c r="C6" s="27" t="s">
        <v>59</v>
      </c>
      <c r="D6" s="27" t="s">
        <v>60</v>
      </c>
      <c r="E6" s="1" t="s">
        <v>194</v>
      </c>
      <c r="F6" s="7">
        <v>1</v>
      </c>
      <c r="G6" s="8" t="s">
        <v>9</v>
      </c>
      <c r="H6" s="29">
        <v>4</v>
      </c>
      <c r="I6" s="1" t="s">
        <v>8</v>
      </c>
    </row>
    <row r="7" spans="1:9" x14ac:dyDescent="0.25">
      <c r="A7" s="7">
        <v>15</v>
      </c>
      <c r="B7" s="27" t="s">
        <v>61</v>
      </c>
      <c r="C7" s="27" t="s">
        <v>62</v>
      </c>
      <c r="D7" s="27" t="s">
        <v>63</v>
      </c>
      <c r="E7" s="1" t="s">
        <v>194</v>
      </c>
      <c r="F7" s="7">
        <v>1</v>
      </c>
      <c r="G7" s="8" t="s">
        <v>9</v>
      </c>
      <c r="H7" s="29">
        <v>4</v>
      </c>
      <c r="I7" s="1" t="s">
        <v>8</v>
      </c>
    </row>
    <row r="8" spans="1:9" x14ac:dyDescent="0.25">
      <c r="A8" s="7">
        <v>15</v>
      </c>
      <c r="B8" s="27" t="s">
        <v>64</v>
      </c>
      <c r="C8" s="27" t="s">
        <v>65</v>
      </c>
      <c r="D8" s="27" t="s">
        <v>66</v>
      </c>
      <c r="E8" s="1" t="s">
        <v>194</v>
      </c>
      <c r="F8" s="7">
        <v>1</v>
      </c>
      <c r="G8" s="8" t="s">
        <v>9</v>
      </c>
      <c r="H8" s="29">
        <v>4</v>
      </c>
      <c r="I8" s="1" t="s">
        <v>8</v>
      </c>
    </row>
    <row r="9" spans="1:9" x14ac:dyDescent="0.25">
      <c r="A9" s="7">
        <v>15</v>
      </c>
      <c r="B9" s="27" t="s">
        <v>67</v>
      </c>
      <c r="C9" s="27" t="s">
        <v>68</v>
      </c>
      <c r="D9" s="27" t="s">
        <v>69</v>
      </c>
      <c r="E9" s="1" t="s">
        <v>194</v>
      </c>
      <c r="F9" s="7">
        <v>1</v>
      </c>
      <c r="G9" s="8" t="s">
        <v>9</v>
      </c>
      <c r="H9" s="29">
        <v>4</v>
      </c>
      <c r="I9" s="1" t="s">
        <v>8</v>
      </c>
    </row>
    <row r="10" spans="1:9" x14ac:dyDescent="0.25">
      <c r="A10" s="7">
        <v>15</v>
      </c>
      <c r="B10" s="27" t="s">
        <v>70</v>
      </c>
      <c r="C10" s="27" t="s">
        <v>71</v>
      </c>
      <c r="D10" s="27" t="s">
        <v>72</v>
      </c>
      <c r="E10" s="1" t="s">
        <v>194</v>
      </c>
      <c r="F10" s="7">
        <v>1</v>
      </c>
      <c r="G10" s="8" t="s">
        <v>9</v>
      </c>
      <c r="H10" s="29" t="s">
        <v>196</v>
      </c>
      <c r="I10" s="1" t="s">
        <v>195</v>
      </c>
    </row>
    <row r="11" spans="1:9" x14ac:dyDescent="0.25">
      <c r="A11" s="7">
        <v>15</v>
      </c>
      <c r="B11" s="27" t="s">
        <v>73</v>
      </c>
      <c r="C11" s="27" t="s">
        <v>74</v>
      </c>
      <c r="D11" s="27" t="s">
        <v>75</v>
      </c>
      <c r="E11" s="1" t="s">
        <v>194</v>
      </c>
      <c r="F11" s="7">
        <v>1</v>
      </c>
      <c r="G11" s="8" t="s">
        <v>9</v>
      </c>
      <c r="H11" s="29" t="s">
        <v>196</v>
      </c>
      <c r="I11" s="1" t="s">
        <v>195</v>
      </c>
    </row>
    <row r="12" spans="1:9" x14ac:dyDescent="0.25">
      <c r="A12" s="7">
        <v>15</v>
      </c>
      <c r="B12" s="27" t="s">
        <v>76</v>
      </c>
      <c r="C12" s="27" t="s">
        <v>77</v>
      </c>
      <c r="D12" s="27" t="s">
        <v>78</v>
      </c>
      <c r="E12" s="1" t="s">
        <v>194</v>
      </c>
      <c r="F12" s="7">
        <v>1</v>
      </c>
      <c r="G12" s="8" t="s">
        <v>9</v>
      </c>
      <c r="H12" s="29" t="s">
        <v>196</v>
      </c>
      <c r="I12" s="1" t="s">
        <v>195</v>
      </c>
    </row>
    <row r="13" spans="1:9" x14ac:dyDescent="0.25">
      <c r="A13" s="7">
        <v>15</v>
      </c>
      <c r="B13" s="27" t="s">
        <v>79</v>
      </c>
      <c r="C13" s="27" t="s">
        <v>80</v>
      </c>
      <c r="D13" s="27" t="s">
        <v>81</v>
      </c>
      <c r="E13" s="1" t="s">
        <v>194</v>
      </c>
      <c r="F13" s="7">
        <v>1</v>
      </c>
      <c r="G13" s="8" t="s">
        <v>9</v>
      </c>
      <c r="H13" s="29" t="s">
        <v>196</v>
      </c>
      <c r="I13" s="1" t="s">
        <v>195</v>
      </c>
    </row>
    <row r="14" spans="1:9" x14ac:dyDescent="0.25">
      <c r="A14" s="7">
        <v>15</v>
      </c>
      <c r="B14" s="27" t="s">
        <v>82</v>
      </c>
      <c r="C14" s="27" t="s">
        <v>83</v>
      </c>
      <c r="D14" s="27" t="s">
        <v>84</v>
      </c>
      <c r="E14" s="1" t="s">
        <v>194</v>
      </c>
      <c r="F14" s="7">
        <v>1</v>
      </c>
      <c r="G14" s="8" t="s">
        <v>9</v>
      </c>
      <c r="H14" s="29" t="s">
        <v>196</v>
      </c>
      <c r="I14" s="1" t="s">
        <v>195</v>
      </c>
    </row>
    <row r="15" spans="1:9" x14ac:dyDescent="0.25">
      <c r="A15" s="7">
        <v>15</v>
      </c>
      <c r="B15" s="27" t="s">
        <v>48</v>
      </c>
      <c r="C15" s="27" t="s">
        <v>85</v>
      </c>
      <c r="D15" s="40" t="s">
        <v>204</v>
      </c>
      <c r="E15" s="1" t="s">
        <v>194</v>
      </c>
      <c r="F15" s="7">
        <v>1</v>
      </c>
      <c r="G15" s="8" t="s">
        <v>9</v>
      </c>
      <c r="H15" s="29" t="s">
        <v>196</v>
      </c>
      <c r="I15" s="1" t="s">
        <v>195</v>
      </c>
    </row>
    <row r="16" spans="1:9" x14ac:dyDescent="0.25">
      <c r="A16" s="7">
        <v>15</v>
      </c>
      <c r="B16" s="27" t="s">
        <v>86</v>
      </c>
      <c r="C16" s="27" t="s">
        <v>87</v>
      </c>
      <c r="D16" s="27" t="s">
        <v>88</v>
      </c>
      <c r="E16" s="1" t="s">
        <v>194</v>
      </c>
      <c r="F16" s="7">
        <v>1</v>
      </c>
      <c r="G16" s="8" t="s">
        <v>9</v>
      </c>
      <c r="H16" s="29" t="s">
        <v>196</v>
      </c>
      <c r="I16" s="1" t="s">
        <v>195</v>
      </c>
    </row>
    <row r="17" spans="1:9" x14ac:dyDescent="0.25">
      <c r="A17" s="7">
        <v>15</v>
      </c>
      <c r="B17" s="27" t="s">
        <v>89</v>
      </c>
      <c r="C17" s="27" t="s">
        <v>90</v>
      </c>
      <c r="D17" s="28">
        <v>1758756412</v>
      </c>
      <c r="E17" s="1" t="s">
        <v>194</v>
      </c>
      <c r="F17" s="7">
        <v>1</v>
      </c>
      <c r="G17" s="8" t="s">
        <v>9</v>
      </c>
      <c r="H17" s="29" t="s">
        <v>196</v>
      </c>
      <c r="I17" s="1" t="s">
        <v>195</v>
      </c>
    </row>
    <row r="18" spans="1:9" x14ac:dyDescent="0.25">
      <c r="A18" s="7">
        <v>15</v>
      </c>
      <c r="B18" s="27" t="s">
        <v>91</v>
      </c>
      <c r="C18" s="27" t="s">
        <v>92</v>
      </c>
      <c r="D18" s="27" t="s">
        <v>93</v>
      </c>
      <c r="E18" s="1" t="s">
        <v>194</v>
      </c>
      <c r="F18" s="7">
        <v>1</v>
      </c>
      <c r="G18" s="8" t="s">
        <v>9</v>
      </c>
      <c r="H18" s="29" t="s">
        <v>197</v>
      </c>
      <c r="I18" s="1" t="s">
        <v>198</v>
      </c>
    </row>
    <row r="19" spans="1:9" x14ac:dyDescent="0.25">
      <c r="A19" s="7">
        <v>15</v>
      </c>
      <c r="B19" s="27" t="s">
        <v>94</v>
      </c>
      <c r="C19" s="27" t="s">
        <v>95</v>
      </c>
      <c r="D19" s="27" t="s">
        <v>96</v>
      </c>
      <c r="E19" s="1" t="s">
        <v>194</v>
      </c>
      <c r="F19" s="7">
        <v>1</v>
      </c>
      <c r="G19" s="8" t="s">
        <v>9</v>
      </c>
      <c r="H19" s="29" t="s">
        <v>197</v>
      </c>
      <c r="I19" s="1" t="s">
        <v>198</v>
      </c>
    </row>
    <row r="20" spans="1:9" x14ac:dyDescent="0.25">
      <c r="A20" s="7">
        <v>15</v>
      </c>
      <c r="B20" s="27" t="s">
        <v>97</v>
      </c>
      <c r="C20" s="27" t="s">
        <v>98</v>
      </c>
      <c r="D20" s="27" t="s">
        <v>99</v>
      </c>
      <c r="E20" s="1" t="s">
        <v>194</v>
      </c>
      <c r="F20" s="7">
        <v>1</v>
      </c>
      <c r="G20" s="8" t="s">
        <v>9</v>
      </c>
      <c r="H20" s="29" t="s">
        <v>197</v>
      </c>
      <c r="I20" s="1" t="s">
        <v>198</v>
      </c>
    </row>
    <row r="21" spans="1:9" x14ac:dyDescent="0.25">
      <c r="A21" s="7">
        <v>15</v>
      </c>
      <c r="B21" s="27" t="s">
        <v>100</v>
      </c>
      <c r="C21" s="27" t="s">
        <v>101</v>
      </c>
      <c r="D21" s="27" t="s">
        <v>102</v>
      </c>
      <c r="E21" s="1" t="s">
        <v>194</v>
      </c>
      <c r="F21" s="7">
        <v>1</v>
      </c>
      <c r="G21" s="8" t="s">
        <v>9</v>
      </c>
      <c r="H21" s="29" t="s">
        <v>197</v>
      </c>
      <c r="I21" s="1" t="s">
        <v>198</v>
      </c>
    </row>
    <row r="22" spans="1:9" x14ac:dyDescent="0.25">
      <c r="A22" s="7">
        <v>15</v>
      </c>
      <c r="B22" s="27" t="s">
        <v>103</v>
      </c>
      <c r="C22" s="27" t="s">
        <v>104</v>
      </c>
      <c r="D22" s="27" t="s">
        <v>105</v>
      </c>
      <c r="E22" s="1" t="s">
        <v>194</v>
      </c>
      <c r="F22" s="7">
        <v>1</v>
      </c>
      <c r="G22" s="8" t="s">
        <v>9</v>
      </c>
      <c r="H22" s="29" t="s">
        <v>197</v>
      </c>
      <c r="I22" s="1" t="s">
        <v>198</v>
      </c>
    </row>
    <row r="23" spans="1:9" x14ac:dyDescent="0.25">
      <c r="A23" s="7">
        <v>15</v>
      </c>
      <c r="B23" s="27" t="s">
        <v>106</v>
      </c>
      <c r="C23" s="27" t="s">
        <v>107</v>
      </c>
      <c r="D23" s="27" t="s">
        <v>108</v>
      </c>
      <c r="E23" s="1" t="s">
        <v>194</v>
      </c>
      <c r="F23" s="7">
        <v>1</v>
      </c>
      <c r="G23" s="8" t="s">
        <v>9</v>
      </c>
      <c r="H23" s="29" t="s">
        <v>197</v>
      </c>
      <c r="I23" s="1" t="s">
        <v>198</v>
      </c>
    </row>
    <row r="24" spans="1:9" x14ac:dyDescent="0.25">
      <c r="A24" s="7">
        <v>15</v>
      </c>
      <c r="B24" s="27" t="s">
        <v>109</v>
      </c>
      <c r="C24" s="27" t="s">
        <v>110</v>
      </c>
      <c r="D24" s="27" t="s">
        <v>111</v>
      </c>
      <c r="E24" s="1" t="s">
        <v>194</v>
      </c>
      <c r="F24" s="7">
        <v>1</v>
      </c>
      <c r="G24" s="8" t="s">
        <v>9</v>
      </c>
      <c r="H24" s="29" t="s">
        <v>197</v>
      </c>
      <c r="I24" s="1" t="s">
        <v>198</v>
      </c>
    </row>
    <row r="25" spans="1:9" x14ac:dyDescent="0.25">
      <c r="A25" s="7">
        <v>15</v>
      </c>
      <c r="B25" s="27" t="s">
        <v>112</v>
      </c>
      <c r="C25" s="27" t="s">
        <v>113</v>
      </c>
      <c r="D25" s="27" t="s">
        <v>114</v>
      </c>
      <c r="E25" s="1" t="s">
        <v>194</v>
      </c>
      <c r="F25" s="7">
        <v>1</v>
      </c>
      <c r="G25" s="8" t="s">
        <v>9</v>
      </c>
      <c r="H25" s="29" t="s">
        <v>197</v>
      </c>
      <c r="I25" s="1" t="s">
        <v>198</v>
      </c>
    </row>
    <row r="26" spans="1:9" x14ac:dyDescent="0.25">
      <c r="A26" s="7">
        <v>15</v>
      </c>
      <c r="B26" s="27" t="s">
        <v>115</v>
      </c>
      <c r="C26" s="27" t="s">
        <v>116</v>
      </c>
      <c r="D26" s="27" t="s">
        <v>117</v>
      </c>
      <c r="E26" s="1" t="s">
        <v>194</v>
      </c>
      <c r="F26" s="7">
        <v>1</v>
      </c>
      <c r="G26" s="8" t="s">
        <v>9</v>
      </c>
      <c r="H26" s="39" t="s">
        <v>199</v>
      </c>
      <c r="I26" s="1" t="s">
        <v>200</v>
      </c>
    </row>
    <row r="27" spans="1:9" x14ac:dyDescent="0.25">
      <c r="A27" s="7">
        <v>15</v>
      </c>
      <c r="B27" s="27" t="s">
        <v>118</v>
      </c>
      <c r="C27" s="27" t="s">
        <v>119</v>
      </c>
      <c r="D27" s="27" t="s">
        <v>120</v>
      </c>
      <c r="E27" s="1" t="s">
        <v>194</v>
      </c>
      <c r="F27" s="7">
        <v>1</v>
      </c>
      <c r="G27" s="8" t="s">
        <v>9</v>
      </c>
      <c r="H27" s="39" t="s">
        <v>199</v>
      </c>
      <c r="I27" s="1" t="s">
        <v>200</v>
      </c>
    </row>
    <row r="28" spans="1:9" x14ac:dyDescent="0.25">
      <c r="A28" s="7">
        <v>15</v>
      </c>
      <c r="B28" s="27" t="s">
        <v>121</v>
      </c>
      <c r="C28" s="27" t="s">
        <v>122</v>
      </c>
      <c r="D28" s="27" t="s">
        <v>123</v>
      </c>
      <c r="E28" s="1" t="s">
        <v>194</v>
      </c>
      <c r="F28" s="7">
        <v>1</v>
      </c>
      <c r="G28" s="8" t="s">
        <v>9</v>
      </c>
      <c r="H28" s="39" t="s">
        <v>199</v>
      </c>
      <c r="I28" s="1" t="s">
        <v>200</v>
      </c>
    </row>
    <row r="29" spans="1:9" x14ac:dyDescent="0.25">
      <c r="A29" s="7">
        <v>15</v>
      </c>
      <c r="B29" s="27" t="s">
        <v>124</v>
      </c>
      <c r="C29" s="27" t="s">
        <v>125</v>
      </c>
      <c r="D29" s="27" t="s">
        <v>126</v>
      </c>
      <c r="E29" s="1" t="s">
        <v>194</v>
      </c>
      <c r="F29" s="7">
        <v>1</v>
      </c>
      <c r="G29" s="8" t="s">
        <v>9</v>
      </c>
      <c r="H29" s="39" t="s">
        <v>199</v>
      </c>
      <c r="I29" s="1" t="s">
        <v>200</v>
      </c>
    </row>
    <row r="30" spans="1:9" x14ac:dyDescent="0.25">
      <c r="A30" s="7">
        <v>15</v>
      </c>
      <c r="B30" s="27" t="s">
        <v>127</v>
      </c>
      <c r="C30" s="27" t="s">
        <v>128</v>
      </c>
      <c r="D30" s="27" t="s">
        <v>129</v>
      </c>
      <c r="E30" s="1" t="s">
        <v>194</v>
      </c>
      <c r="F30" s="7">
        <v>1</v>
      </c>
      <c r="G30" s="8" t="s">
        <v>9</v>
      </c>
      <c r="H30" s="39" t="s">
        <v>199</v>
      </c>
      <c r="I30" s="1" t="s">
        <v>200</v>
      </c>
    </row>
    <row r="31" spans="1:9" x14ac:dyDescent="0.25">
      <c r="A31" s="7">
        <v>15</v>
      </c>
      <c r="B31" s="27" t="s">
        <v>46</v>
      </c>
      <c r="C31" s="27" t="s">
        <v>47</v>
      </c>
      <c r="D31" s="40" t="s">
        <v>205</v>
      </c>
      <c r="E31" s="1" t="s">
        <v>194</v>
      </c>
      <c r="F31" s="7">
        <v>1</v>
      </c>
      <c r="G31" s="8" t="s">
        <v>9</v>
      </c>
      <c r="H31" s="39" t="s">
        <v>199</v>
      </c>
      <c r="I31" s="1" t="s">
        <v>200</v>
      </c>
    </row>
    <row r="32" spans="1:9" x14ac:dyDescent="0.25">
      <c r="A32" s="7">
        <v>15</v>
      </c>
      <c r="B32" s="27" t="s">
        <v>130</v>
      </c>
      <c r="C32" s="27" t="s">
        <v>131</v>
      </c>
      <c r="D32" s="27" t="s">
        <v>132</v>
      </c>
      <c r="E32" s="1" t="s">
        <v>194</v>
      </c>
      <c r="F32" s="7">
        <v>1</v>
      </c>
      <c r="G32" s="8" t="s">
        <v>9</v>
      </c>
      <c r="H32" s="39" t="s">
        <v>199</v>
      </c>
      <c r="I32" s="1" t="s">
        <v>200</v>
      </c>
    </row>
    <row r="33" spans="1:9" x14ac:dyDescent="0.25">
      <c r="A33" s="7">
        <v>15</v>
      </c>
      <c r="B33" s="28">
        <v>1911639335</v>
      </c>
      <c r="C33" s="27" t="s">
        <v>133</v>
      </c>
      <c r="D33" s="27" t="s">
        <v>134</v>
      </c>
      <c r="E33" s="1" t="s">
        <v>194</v>
      </c>
      <c r="F33" s="7">
        <v>1</v>
      </c>
      <c r="G33" s="8" t="s">
        <v>9</v>
      </c>
      <c r="H33" s="39" t="s">
        <v>199</v>
      </c>
      <c r="I33" s="1" t="s">
        <v>200</v>
      </c>
    </row>
    <row r="34" spans="1:9" x14ac:dyDescent="0.25">
      <c r="A34" s="7">
        <v>15</v>
      </c>
      <c r="B34" s="27" t="s">
        <v>135</v>
      </c>
      <c r="C34" s="27" t="s">
        <v>136</v>
      </c>
      <c r="D34" s="27" t="s">
        <v>137</v>
      </c>
      <c r="E34" s="1" t="s">
        <v>194</v>
      </c>
      <c r="F34" s="7">
        <v>1</v>
      </c>
      <c r="G34" s="8" t="s">
        <v>9</v>
      </c>
      <c r="H34" s="39" t="s">
        <v>199</v>
      </c>
      <c r="I34" s="1" t="s">
        <v>200</v>
      </c>
    </row>
    <row r="35" spans="1:9" x14ac:dyDescent="0.25">
      <c r="A35" s="7">
        <v>15</v>
      </c>
      <c r="B35" s="27" t="s">
        <v>138</v>
      </c>
      <c r="C35" s="27" t="s">
        <v>139</v>
      </c>
      <c r="D35" s="27" t="s">
        <v>140</v>
      </c>
      <c r="E35" s="1" t="s">
        <v>194</v>
      </c>
      <c r="F35" s="7">
        <v>1</v>
      </c>
      <c r="G35" s="8" t="s">
        <v>9</v>
      </c>
      <c r="H35" s="39" t="s">
        <v>199</v>
      </c>
      <c r="I35" s="1" t="s">
        <v>200</v>
      </c>
    </row>
    <row r="36" spans="1:9" x14ac:dyDescent="0.25">
      <c r="A36" s="7">
        <v>15</v>
      </c>
      <c r="B36" s="27" t="s">
        <v>141</v>
      </c>
      <c r="C36" s="27" t="s">
        <v>142</v>
      </c>
      <c r="D36" s="27" t="s">
        <v>143</v>
      </c>
      <c r="E36" s="1" t="s">
        <v>194</v>
      </c>
      <c r="F36" s="7">
        <v>1</v>
      </c>
      <c r="G36" s="8" t="s">
        <v>9</v>
      </c>
      <c r="H36" s="39">
        <v>11</v>
      </c>
      <c r="I36" s="1" t="s">
        <v>201</v>
      </c>
    </row>
    <row r="37" spans="1:9" x14ac:dyDescent="0.25">
      <c r="A37" s="7">
        <v>15</v>
      </c>
      <c r="B37" s="27" t="s">
        <v>144</v>
      </c>
      <c r="C37" s="27" t="s">
        <v>145</v>
      </c>
      <c r="D37" s="27" t="s">
        <v>146</v>
      </c>
      <c r="E37" s="1" t="s">
        <v>194</v>
      </c>
      <c r="F37" s="7">
        <v>1</v>
      </c>
      <c r="G37" s="8" t="s">
        <v>9</v>
      </c>
      <c r="H37" s="39">
        <v>11</v>
      </c>
      <c r="I37" s="1" t="s">
        <v>201</v>
      </c>
    </row>
    <row r="38" spans="1:9" x14ac:dyDescent="0.25">
      <c r="A38" s="7">
        <v>15</v>
      </c>
      <c r="B38" s="27" t="s">
        <v>147</v>
      </c>
      <c r="C38" s="27" t="s">
        <v>148</v>
      </c>
      <c r="D38" s="27" t="s">
        <v>149</v>
      </c>
      <c r="E38" s="1" t="s">
        <v>194</v>
      </c>
      <c r="F38" s="7">
        <v>1</v>
      </c>
      <c r="G38" s="8" t="s">
        <v>9</v>
      </c>
      <c r="H38" s="39">
        <v>11</v>
      </c>
      <c r="I38" s="1" t="s">
        <v>201</v>
      </c>
    </row>
    <row r="39" spans="1:9" x14ac:dyDescent="0.25">
      <c r="A39" s="7">
        <v>15</v>
      </c>
      <c r="B39" s="27" t="s">
        <v>150</v>
      </c>
      <c r="C39" s="27" t="s">
        <v>151</v>
      </c>
      <c r="D39" s="27" t="s">
        <v>152</v>
      </c>
      <c r="E39" s="1" t="s">
        <v>194</v>
      </c>
      <c r="F39" s="7">
        <v>1</v>
      </c>
      <c r="G39" s="8" t="s">
        <v>9</v>
      </c>
      <c r="H39" s="39">
        <v>11</v>
      </c>
      <c r="I39" s="1" t="s">
        <v>201</v>
      </c>
    </row>
    <row r="40" spans="1:9" x14ac:dyDescent="0.25">
      <c r="A40" s="7">
        <v>15</v>
      </c>
      <c r="B40" s="27" t="s">
        <v>153</v>
      </c>
      <c r="C40" s="27" t="s">
        <v>154</v>
      </c>
      <c r="D40" s="27" t="s">
        <v>155</v>
      </c>
      <c r="E40" s="1" t="s">
        <v>194</v>
      </c>
      <c r="F40" s="7">
        <v>1</v>
      </c>
      <c r="G40" s="8" t="s">
        <v>9</v>
      </c>
      <c r="H40" s="39">
        <v>11</v>
      </c>
      <c r="I40" s="1" t="s">
        <v>201</v>
      </c>
    </row>
    <row r="41" spans="1:9" x14ac:dyDescent="0.25">
      <c r="A41" s="7">
        <v>15</v>
      </c>
      <c r="B41" s="27" t="s">
        <v>156</v>
      </c>
      <c r="C41" s="27" t="s">
        <v>157</v>
      </c>
      <c r="D41" s="27" t="s">
        <v>158</v>
      </c>
      <c r="E41" s="1" t="s">
        <v>194</v>
      </c>
      <c r="F41" s="7">
        <v>1</v>
      </c>
      <c r="G41" s="8" t="s">
        <v>9</v>
      </c>
      <c r="H41" s="39">
        <v>11</v>
      </c>
      <c r="I41" s="1" t="s">
        <v>201</v>
      </c>
    </row>
    <row r="42" spans="1:9" x14ac:dyDescent="0.25">
      <c r="A42" s="7">
        <v>15</v>
      </c>
      <c r="B42" s="27" t="s">
        <v>159</v>
      </c>
      <c r="C42" s="27" t="s">
        <v>160</v>
      </c>
      <c r="D42" s="28">
        <v>1724703988</v>
      </c>
      <c r="E42" s="1" t="s">
        <v>194</v>
      </c>
      <c r="F42" s="7">
        <v>1</v>
      </c>
      <c r="G42" s="8" t="s">
        <v>9</v>
      </c>
      <c r="H42" s="39">
        <v>11</v>
      </c>
      <c r="I42" s="1" t="s">
        <v>201</v>
      </c>
    </row>
    <row r="43" spans="1:9" x14ac:dyDescent="0.25">
      <c r="A43" s="7">
        <v>15</v>
      </c>
      <c r="B43" s="27" t="s">
        <v>161</v>
      </c>
      <c r="C43" s="27" t="s">
        <v>162</v>
      </c>
      <c r="D43" s="27" t="s">
        <v>163</v>
      </c>
      <c r="E43" s="1" t="s">
        <v>194</v>
      </c>
      <c r="F43" s="7">
        <v>1</v>
      </c>
      <c r="G43" s="8" t="s">
        <v>9</v>
      </c>
      <c r="H43" s="39">
        <v>11</v>
      </c>
      <c r="I43" s="1" t="s">
        <v>201</v>
      </c>
    </row>
    <row r="44" spans="1:9" x14ac:dyDescent="0.25">
      <c r="A44" s="7">
        <v>15</v>
      </c>
      <c r="B44" s="27" t="s">
        <v>164</v>
      </c>
      <c r="C44" s="27" t="s">
        <v>165</v>
      </c>
      <c r="D44" s="27" t="s">
        <v>166</v>
      </c>
      <c r="E44" s="1" t="s">
        <v>194</v>
      </c>
      <c r="F44" s="7">
        <v>1</v>
      </c>
      <c r="G44" s="8" t="s">
        <v>9</v>
      </c>
      <c r="H44" s="39">
        <v>11</v>
      </c>
      <c r="I44" s="1" t="s">
        <v>201</v>
      </c>
    </row>
    <row r="45" spans="1:9" x14ac:dyDescent="0.25">
      <c r="A45" s="7">
        <v>15</v>
      </c>
      <c r="B45" s="27" t="s">
        <v>167</v>
      </c>
      <c r="C45" s="27" t="s">
        <v>168</v>
      </c>
      <c r="D45" s="27" t="s">
        <v>169</v>
      </c>
      <c r="E45" s="1" t="s">
        <v>194</v>
      </c>
      <c r="F45" s="7">
        <v>1</v>
      </c>
      <c r="G45" s="8" t="s">
        <v>9</v>
      </c>
      <c r="H45" s="39">
        <v>11</v>
      </c>
      <c r="I45" s="1" t="s">
        <v>201</v>
      </c>
    </row>
    <row r="46" spans="1:9" x14ac:dyDescent="0.25">
      <c r="A46" s="7">
        <v>15</v>
      </c>
      <c r="B46" s="27" t="s">
        <v>170</v>
      </c>
      <c r="C46" s="27" t="s">
        <v>171</v>
      </c>
      <c r="D46" s="27" t="s">
        <v>172</v>
      </c>
      <c r="E46" s="1" t="s">
        <v>194</v>
      </c>
      <c r="F46" s="7">
        <v>1</v>
      </c>
      <c r="G46" s="8" t="s">
        <v>9</v>
      </c>
      <c r="H46" s="39">
        <v>10</v>
      </c>
      <c r="I46" s="1" t="s">
        <v>202</v>
      </c>
    </row>
    <row r="47" spans="1:9" x14ac:dyDescent="0.25">
      <c r="A47" s="7">
        <v>15</v>
      </c>
      <c r="B47" s="27" t="s">
        <v>173</v>
      </c>
      <c r="C47" s="27" t="s">
        <v>174</v>
      </c>
      <c r="D47" s="27" t="s">
        <v>175</v>
      </c>
      <c r="E47" s="1" t="s">
        <v>194</v>
      </c>
      <c r="F47" s="7">
        <v>1</v>
      </c>
      <c r="G47" s="8" t="s">
        <v>9</v>
      </c>
      <c r="H47" s="39">
        <v>10</v>
      </c>
      <c r="I47" s="1" t="s">
        <v>202</v>
      </c>
    </row>
    <row r="48" spans="1:9" x14ac:dyDescent="0.25">
      <c r="A48" s="7">
        <v>15</v>
      </c>
      <c r="B48" s="27" t="s">
        <v>176</v>
      </c>
      <c r="C48" s="27" t="s">
        <v>177</v>
      </c>
      <c r="D48" s="27" t="s">
        <v>178</v>
      </c>
      <c r="E48" s="1" t="s">
        <v>194</v>
      </c>
      <c r="F48" s="7">
        <v>1</v>
      </c>
      <c r="G48" s="8" t="s">
        <v>9</v>
      </c>
      <c r="H48" s="39">
        <v>10</v>
      </c>
      <c r="I48" s="1" t="s">
        <v>202</v>
      </c>
    </row>
    <row r="49" spans="1:9" x14ac:dyDescent="0.25">
      <c r="A49" s="7">
        <v>15</v>
      </c>
      <c r="B49" s="27" t="s">
        <v>179</v>
      </c>
      <c r="C49" s="27" t="s">
        <v>180</v>
      </c>
      <c r="D49" s="27" t="s">
        <v>181</v>
      </c>
      <c r="E49" s="1" t="s">
        <v>194</v>
      </c>
      <c r="F49" s="7">
        <v>1</v>
      </c>
      <c r="G49" s="8" t="s">
        <v>9</v>
      </c>
      <c r="H49" s="39">
        <v>10</v>
      </c>
      <c r="I49" s="1" t="s">
        <v>202</v>
      </c>
    </row>
    <row r="50" spans="1:9" x14ac:dyDescent="0.25">
      <c r="A50" s="7">
        <v>15</v>
      </c>
      <c r="B50" s="27" t="s">
        <v>182</v>
      </c>
      <c r="C50" s="27" t="s">
        <v>183</v>
      </c>
      <c r="D50" s="27" t="s">
        <v>184</v>
      </c>
      <c r="E50" s="1" t="s">
        <v>194</v>
      </c>
      <c r="F50" s="7">
        <v>1</v>
      </c>
      <c r="G50" s="8" t="s">
        <v>9</v>
      </c>
      <c r="H50" s="39">
        <v>10</v>
      </c>
      <c r="I50" s="1" t="s">
        <v>202</v>
      </c>
    </row>
    <row r="51" spans="1:9" x14ac:dyDescent="0.25">
      <c r="A51" s="7">
        <v>15</v>
      </c>
      <c r="B51" s="27" t="s">
        <v>185</v>
      </c>
      <c r="C51" s="27" t="s">
        <v>186</v>
      </c>
      <c r="D51" s="27" t="s">
        <v>187</v>
      </c>
      <c r="E51" s="1" t="s">
        <v>194</v>
      </c>
      <c r="F51" s="7">
        <v>1</v>
      </c>
      <c r="G51" s="8" t="s">
        <v>9</v>
      </c>
      <c r="H51" s="39">
        <v>10</v>
      </c>
      <c r="I51" s="1" t="s">
        <v>202</v>
      </c>
    </row>
    <row r="52" spans="1:9" x14ac:dyDescent="0.25">
      <c r="A52" s="7">
        <v>15</v>
      </c>
      <c r="B52" s="27" t="s">
        <v>188</v>
      </c>
      <c r="C52" s="27" t="s">
        <v>189</v>
      </c>
      <c r="D52" s="27" t="s">
        <v>190</v>
      </c>
      <c r="E52" s="1" t="s">
        <v>194</v>
      </c>
      <c r="F52" s="7">
        <v>1</v>
      </c>
      <c r="G52" s="8" t="s">
        <v>9</v>
      </c>
      <c r="H52" s="39">
        <v>10</v>
      </c>
      <c r="I52" s="1" t="s">
        <v>202</v>
      </c>
    </row>
    <row r="53" spans="1:9" x14ac:dyDescent="0.25">
      <c r="A53" s="7">
        <v>15</v>
      </c>
      <c r="B53" s="27" t="s">
        <v>191</v>
      </c>
      <c r="C53" s="27" t="s">
        <v>192</v>
      </c>
      <c r="D53" s="27" t="s">
        <v>193</v>
      </c>
      <c r="E53" s="1" t="s">
        <v>194</v>
      </c>
      <c r="F53" s="7">
        <v>1</v>
      </c>
      <c r="G53" s="8" t="s">
        <v>9</v>
      </c>
      <c r="H53" s="39">
        <v>10</v>
      </c>
      <c r="I53" s="1" t="s">
        <v>202</v>
      </c>
    </row>
  </sheetData>
  <conditionalFormatting sqref="C2">
    <cfRule type="duplicateValues" dxfId="3" priority="529"/>
    <cfRule type="duplicateValues" dxfId="2" priority="530"/>
    <cfRule type="duplicateValues" dxfId="1" priority="531"/>
  </conditionalFormatting>
  <conditionalFormatting sqref="A1:G1 I2:J2 A2:A53 E2:G53 H1:I53">
    <cfRule type="duplicateValues" dxfId="0" priority="568"/>
  </conditionalFormatting>
  <pageMargins left="0.75" right="0.75" top="1" bottom="1" header="0.5" footer="0.5"/>
  <pageSetup paperSize="9" orientation="portrait" r:id="rId1"/>
  <ignoredErrors>
    <ignoredError sqref="H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0" workbookViewId="0">
      <selection activeCell="B12" sqref="B12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19" t="s">
        <v>10</v>
      </c>
      <c r="B1" s="9" t="s">
        <v>17</v>
      </c>
      <c r="C1" s="9" t="s">
        <v>43</v>
      </c>
      <c r="D1" s="10" t="s">
        <v>11</v>
      </c>
    </row>
    <row r="2" spans="1:4" s="24" customFormat="1" ht="19.5" x14ac:dyDescent="0.3">
      <c r="A2" s="32" t="s">
        <v>37</v>
      </c>
      <c r="B2" s="35" t="s">
        <v>20</v>
      </c>
      <c r="C2" s="36">
        <v>4</v>
      </c>
      <c r="D2" s="36">
        <v>8</v>
      </c>
    </row>
    <row r="3" spans="1:4" s="24" customFormat="1" ht="19.5" x14ac:dyDescent="0.3">
      <c r="A3" s="33"/>
      <c r="B3" s="30" t="s">
        <v>38</v>
      </c>
      <c r="C3" s="23">
        <v>20</v>
      </c>
      <c r="D3" s="23"/>
    </row>
    <row r="4" spans="1:4" s="24" customFormat="1" ht="19.5" x14ac:dyDescent="0.3">
      <c r="A4" s="33"/>
      <c r="B4" s="30" t="s">
        <v>28</v>
      </c>
      <c r="C4" s="23">
        <v>21</v>
      </c>
      <c r="D4" s="23"/>
    </row>
    <row r="5" spans="1:4" s="24" customFormat="1" ht="19.5" x14ac:dyDescent="0.3">
      <c r="A5" s="34"/>
      <c r="B5" s="30" t="s">
        <v>18</v>
      </c>
      <c r="C5" s="23">
        <v>19</v>
      </c>
      <c r="D5" s="23"/>
    </row>
    <row r="6" spans="1:4" s="24" customFormat="1" ht="19.5" x14ac:dyDescent="0.3">
      <c r="A6" s="32" t="s">
        <v>39</v>
      </c>
      <c r="B6" s="30" t="s">
        <v>19</v>
      </c>
      <c r="C6" s="23">
        <v>13</v>
      </c>
      <c r="D6" s="23"/>
    </row>
    <row r="7" spans="1:4" s="24" customFormat="1" ht="19.5" x14ac:dyDescent="0.3">
      <c r="A7" s="33"/>
      <c r="B7" s="30" t="s">
        <v>29</v>
      </c>
      <c r="C7" s="23">
        <v>33</v>
      </c>
      <c r="D7" s="23"/>
    </row>
    <row r="8" spans="1:4" s="24" customFormat="1" ht="19.5" x14ac:dyDescent="0.3">
      <c r="A8" s="33"/>
      <c r="B8" s="30" t="s">
        <v>35</v>
      </c>
      <c r="C8" s="23">
        <v>31</v>
      </c>
      <c r="D8" s="23"/>
    </row>
    <row r="9" spans="1:4" s="24" customFormat="1" ht="19.5" x14ac:dyDescent="0.3">
      <c r="A9" s="34"/>
      <c r="B9" s="37" t="s">
        <v>16</v>
      </c>
      <c r="C9" s="38">
        <v>12</v>
      </c>
      <c r="D9" s="36">
        <v>8</v>
      </c>
    </row>
    <row r="10" spans="1:4" s="24" customFormat="1" ht="19.5" x14ac:dyDescent="0.3">
      <c r="A10" s="32" t="s">
        <v>12</v>
      </c>
      <c r="B10" s="30" t="s">
        <v>15</v>
      </c>
      <c r="C10" s="23">
        <v>7</v>
      </c>
      <c r="D10" s="23"/>
    </row>
    <row r="11" spans="1:4" s="24" customFormat="1" ht="19.5" x14ac:dyDescent="0.3">
      <c r="A11" s="34"/>
      <c r="B11" s="31" t="s">
        <v>40</v>
      </c>
      <c r="C11" s="25">
        <v>5</v>
      </c>
      <c r="D11" s="23"/>
    </row>
    <row r="12" spans="1:4" s="24" customFormat="1" ht="19.5" x14ac:dyDescent="0.3">
      <c r="A12" s="32" t="s">
        <v>41</v>
      </c>
      <c r="B12" s="35" t="s">
        <v>21</v>
      </c>
      <c r="C12" s="36">
        <v>17</v>
      </c>
      <c r="D12" s="36">
        <v>8</v>
      </c>
    </row>
    <row r="13" spans="1:4" s="24" customFormat="1" ht="19.5" x14ac:dyDescent="0.3">
      <c r="A13" s="33"/>
      <c r="B13" s="30" t="s">
        <v>22</v>
      </c>
      <c r="C13" s="23">
        <v>9</v>
      </c>
      <c r="D13" s="23"/>
    </row>
    <row r="14" spans="1:4" s="24" customFormat="1" ht="19.5" x14ac:dyDescent="0.3">
      <c r="A14" s="33"/>
      <c r="B14" s="30" t="s">
        <v>23</v>
      </c>
      <c r="C14" s="23">
        <v>6</v>
      </c>
      <c r="D14" s="23"/>
    </row>
    <row r="15" spans="1:4" s="24" customFormat="1" ht="19.5" x14ac:dyDescent="0.3">
      <c r="A15" s="33"/>
      <c r="B15" s="30" t="s">
        <v>24</v>
      </c>
      <c r="C15" s="23">
        <v>27</v>
      </c>
      <c r="D15" s="23"/>
    </row>
    <row r="16" spans="1:4" s="24" customFormat="1" ht="19.5" x14ac:dyDescent="0.3">
      <c r="A16" s="33"/>
      <c r="B16" s="30" t="s">
        <v>25</v>
      </c>
      <c r="C16" s="23">
        <v>26</v>
      </c>
      <c r="D16" s="23"/>
    </row>
    <row r="17" spans="1:8" s="24" customFormat="1" ht="19.5" x14ac:dyDescent="0.3">
      <c r="A17" s="34"/>
      <c r="B17" s="30" t="s">
        <v>27</v>
      </c>
      <c r="C17" s="23">
        <v>18</v>
      </c>
      <c r="D17" s="23"/>
    </row>
    <row r="18" spans="1:8" s="24" customFormat="1" ht="19.5" x14ac:dyDescent="0.3">
      <c r="A18" s="32" t="s">
        <v>42</v>
      </c>
      <c r="B18" s="35" t="s">
        <v>32</v>
      </c>
      <c r="C18" s="36">
        <v>8</v>
      </c>
      <c r="D18" s="36">
        <v>10</v>
      </c>
    </row>
    <row r="19" spans="1:8" s="24" customFormat="1" ht="19.5" x14ac:dyDescent="0.3">
      <c r="A19" s="33"/>
      <c r="B19" s="30" t="s">
        <v>30</v>
      </c>
      <c r="C19" s="23">
        <v>34</v>
      </c>
      <c r="D19" s="23"/>
      <c r="G19" s="24">
        <f>52-D26</f>
        <v>0</v>
      </c>
      <c r="H19" s="24">
        <f>353/23</f>
        <v>15.347826086956522</v>
      </c>
    </row>
    <row r="20" spans="1:8" s="24" customFormat="1" ht="19.5" x14ac:dyDescent="0.3">
      <c r="A20" s="33"/>
      <c r="B20" s="30" t="s">
        <v>31</v>
      </c>
      <c r="C20" s="23">
        <v>35</v>
      </c>
      <c r="D20" s="23"/>
    </row>
    <row r="21" spans="1:8" s="24" customFormat="1" ht="19.5" x14ac:dyDescent="0.3">
      <c r="A21" s="34"/>
      <c r="B21" s="35" t="s">
        <v>26</v>
      </c>
      <c r="C21" s="36">
        <v>11</v>
      </c>
      <c r="D21" s="36">
        <v>10</v>
      </c>
    </row>
    <row r="22" spans="1:8" s="24" customFormat="1" ht="19.5" x14ac:dyDescent="0.3">
      <c r="A22" s="32" t="s">
        <v>13</v>
      </c>
      <c r="B22" s="35" t="s">
        <v>33</v>
      </c>
      <c r="C22" s="36">
        <v>10</v>
      </c>
      <c r="D22" s="36">
        <v>8</v>
      </c>
    </row>
    <row r="23" spans="1:8" s="24" customFormat="1" ht="19.5" x14ac:dyDescent="0.3">
      <c r="A23" s="33"/>
      <c r="B23" s="30" t="s">
        <v>44</v>
      </c>
      <c r="C23" s="23">
        <v>36</v>
      </c>
      <c r="D23" s="23"/>
    </row>
    <row r="24" spans="1:8" s="24" customFormat="1" ht="19.5" x14ac:dyDescent="0.3">
      <c r="A24" s="34"/>
      <c r="B24" s="22" t="s">
        <v>36</v>
      </c>
      <c r="C24" s="23">
        <v>24</v>
      </c>
      <c r="D24" s="23"/>
    </row>
    <row r="25" spans="1:8" s="24" customFormat="1" ht="19.5" x14ac:dyDescent="0.3">
      <c r="A25" s="26" t="s">
        <v>14</v>
      </c>
      <c r="B25" s="22" t="s">
        <v>34</v>
      </c>
      <c r="C25" s="23">
        <v>25</v>
      </c>
      <c r="D25" s="23"/>
    </row>
    <row r="26" spans="1:8" ht="19.5" x14ac:dyDescent="0.3">
      <c r="A26" s="21"/>
      <c r="B26" s="12">
        <f>COUNTA(B2:B25)</f>
        <v>24</v>
      </c>
      <c r="C26" s="12"/>
      <c r="D26" s="20">
        <f>SUM(D2:D25)</f>
        <v>52</v>
      </c>
    </row>
  </sheetData>
  <mergeCells count="6">
    <mergeCell ref="A18:A21"/>
    <mergeCell ref="A22:A24"/>
    <mergeCell ref="A2:A5"/>
    <mergeCell ref="A6:A9"/>
    <mergeCell ref="A10:A11"/>
    <mergeCell ref="A1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2021-09-23T06:32:10Z</dcterms:modified>
</cp:coreProperties>
</file>