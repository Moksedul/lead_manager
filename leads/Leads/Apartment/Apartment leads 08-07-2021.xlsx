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Apartment\"/>
    </mc:Choice>
  </mc:AlternateContent>
  <bookViews>
    <workbookView xWindow="0" yWindow="0" windowWidth="20490" windowHeight="7905" activeTab="1"/>
  </bookViews>
  <sheets>
    <sheet name="leads" sheetId="1" r:id="rId1"/>
    <sheet name="Distribution" sheetId="3" r:id="rId2"/>
    <sheet name="users" sheetId="2" r:id="rId3"/>
  </sheets>
  <calcPr calcId="152511"/>
</workbook>
</file>

<file path=xl/calcChain.xml><?xml version="1.0" encoding="utf-8"?>
<calcChain xmlns="http://schemas.openxmlformats.org/spreadsheetml/2006/main">
  <c r="E13" i="3" l="1"/>
  <c r="D13" i="3"/>
  <c r="G14" i="3"/>
  <c r="B6" i="3"/>
  <c r="E4" i="3" s="1"/>
</calcChain>
</file>

<file path=xl/sharedStrings.xml><?xml version="1.0" encoding="utf-8"?>
<sst xmlns="http://schemas.openxmlformats.org/spreadsheetml/2006/main" count="611" uniqueCount="320">
  <si>
    <t>full_name</t>
  </si>
  <si>
    <t>phone_number</t>
  </si>
  <si>
    <t>email</t>
  </si>
  <si>
    <t>Wahid Zaman</t>
  </si>
  <si>
    <t>Zakir Hossain</t>
  </si>
  <si>
    <t>distribution_no</t>
  </si>
  <si>
    <t>interested_in</t>
  </si>
  <si>
    <t>assigned_to</t>
  </si>
  <si>
    <t>added_by</t>
  </si>
  <si>
    <t>lead_source</t>
  </si>
  <si>
    <t>Apartment</t>
  </si>
  <si>
    <t>zabed</t>
  </si>
  <si>
    <t>id</t>
  </si>
  <si>
    <t>user_name</t>
  </si>
  <si>
    <t>sagar</t>
  </si>
  <si>
    <t>jahedul</t>
  </si>
  <si>
    <t>habib</t>
  </si>
  <si>
    <t>Facebook Ad</t>
  </si>
  <si>
    <t>Milon RU</t>
  </si>
  <si>
    <t>+8801908316407</t>
  </si>
  <si>
    <t>mostafizbkk@gmail.com</t>
  </si>
  <si>
    <t>Md Alamin</t>
  </si>
  <si>
    <t>+8801712002411</t>
  </si>
  <si>
    <t>amd159996@gmail.com</t>
  </si>
  <si>
    <t>Md Saheb Zaman</t>
  </si>
  <si>
    <t>+8801730112079</t>
  </si>
  <si>
    <t>sahebzaman81@gmail.com</t>
  </si>
  <si>
    <t>Maliha Hasnat</t>
  </si>
  <si>
    <t>+8801324029279</t>
  </si>
  <si>
    <t>Malihamithi2@gmail.com</t>
  </si>
  <si>
    <t>Mohammad Asghar Ali Khan</t>
  </si>
  <si>
    <t>+8801713187001</t>
  </si>
  <si>
    <t>qwertyuiopasdfghjkl360@gmail.com</t>
  </si>
  <si>
    <t>Lelin Arefin Alik</t>
  </si>
  <si>
    <t>+88001716432667</t>
  </si>
  <si>
    <t>alik.bd.69@gmail.com</t>
  </si>
  <si>
    <t>Ashiqur Rahman</t>
  </si>
  <si>
    <t>+8801714097763</t>
  </si>
  <si>
    <t>mashiqurrahman@yahoo.com</t>
  </si>
  <si>
    <t>Adnan Khan</t>
  </si>
  <si>
    <t>+8801996808354</t>
  </si>
  <si>
    <t>arifbhuya516@gmail.com</t>
  </si>
  <si>
    <t>Amzad Hossain</t>
  </si>
  <si>
    <t>+8801719516870</t>
  </si>
  <si>
    <t>amzad1159@gmail.com</t>
  </si>
  <si>
    <t>Mazibur Rahman</t>
  </si>
  <si>
    <t>+8801716938674</t>
  </si>
  <si>
    <t>mrhowladar@gmail.com</t>
  </si>
  <si>
    <t>Md Al-Amin</t>
  </si>
  <si>
    <t>+8801757407777</t>
  </si>
  <si>
    <t>alamin.wahida@gmail.com</t>
  </si>
  <si>
    <t>omar faruque</t>
  </si>
  <si>
    <t>+8801639609282</t>
  </si>
  <si>
    <t>faruque.omar1@gmail.com</t>
  </si>
  <si>
    <t>Siam</t>
  </si>
  <si>
    <t>+88001711336068</t>
  </si>
  <si>
    <t>siam4060@gmail.com</t>
  </si>
  <si>
    <t>Arafat Chowdhury Ador</t>
  </si>
  <si>
    <t>+8801784575149</t>
  </si>
  <si>
    <t>arafat.chowdhury1@northsouth.edu</t>
  </si>
  <si>
    <t>Seema Mahtab</t>
  </si>
  <si>
    <t>+8801676594934</t>
  </si>
  <si>
    <t>mahtabseema8@gmail.com</t>
  </si>
  <si>
    <t>Hoque Faishal</t>
  </si>
  <si>
    <t>+8801711287402</t>
  </si>
  <si>
    <t>hoquefaishal@yahoo.com</t>
  </si>
  <si>
    <t>Mohammad Ali Badrul</t>
  </si>
  <si>
    <t>+8801686689918</t>
  </si>
  <si>
    <t>alibadrul@mesenger.com</t>
  </si>
  <si>
    <t>Amin Lokman</t>
  </si>
  <si>
    <t>+13473098481</t>
  </si>
  <si>
    <t>lokmanamin9568@gmail.com</t>
  </si>
  <si>
    <t>Md Shahjahan</t>
  </si>
  <si>
    <t>+8801762660942</t>
  </si>
  <si>
    <t>shahjahan13121958@gmail.com</t>
  </si>
  <si>
    <t>Emran Khan</t>
  </si>
  <si>
    <t>+8801926551142</t>
  </si>
  <si>
    <t>emrankhan018836@gmail.com</t>
  </si>
  <si>
    <t>Nazmul Parvez</t>
  </si>
  <si>
    <t>+8801972758108</t>
  </si>
  <si>
    <t>parvez_nazmul@yahoo.com</t>
  </si>
  <si>
    <t>Abi Abdullah</t>
  </si>
  <si>
    <t>+8801734997811</t>
  </si>
  <si>
    <t>mdabjakson@gmail.com</t>
  </si>
  <si>
    <t>+8801710826389</t>
  </si>
  <si>
    <t>wahid63.gsb@gmail.com</t>
  </si>
  <si>
    <t>Abdur Rahim</t>
  </si>
  <si>
    <t>+8801767803547</t>
  </si>
  <si>
    <t>dr.abdurrahim83@gmail.com</t>
  </si>
  <si>
    <t>Azizul Hakim</t>
  </si>
  <si>
    <t>+8801819844176</t>
  </si>
  <si>
    <t>azizulhakimn178@gmail.com</t>
  </si>
  <si>
    <t>Intaj Ali</t>
  </si>
  <si>
    <t>+8801731870776</t>
  </si>
  <si>
    <t>aliintaj662@gmail.com</t>
  </si>
  <si>
    <t>Tanim Hassan</t>
  </si>
  <si>
    <t>+8801999075017</t>
  </si>
  <si>
    <t>tanimmaxhr16@gmail.com</t>
  </si>
  <si>
    <t>MD Mostofa Kamal</t>
  </si>
  <si>
    <t>mdmostofa7870@gmail.com</t>
  </si>
  <si>
    <t>Razaul Hoque</t>
  </si>
  <si>
    <t>+8801723097002</t>
  </si>
  <si>
    <t>razaulhoque625@gmail.com</t>
  </si>
  <si>
    <t>Musharaf Hossain</t>
  </si>
  <si>
    <t>+8801814403099</t>
  </si>
  <si>
    <t>musharafalamgair@gmail.com</t>
  </si>
  <si>
    <t>Bimal Kundu</t>
  </si>
  <si>
    <t>+8801711703704</t>
  </si>
  <si>
    <t>bimalkundu2@gmail.com</t>
  </si>
  <si>
    <t>M A Qudir Bhuiyan</t>
  </si>
  <si>
    <t>+8801312657753</t>
  </si>
  <si>
    <t>jtccl.gmcs@gmail.com</t>
  </si>
  <si>
    <t>Md Shafiullah</t>
  </si>
  <si>
    <t>+8801748185124</t>
  </si>
  <si>
    <t>mshafiullah1219@gmail.com</t>
  </si>
  <si>
    <t>Muhammed Badrul Haque</t>
  </si>
  <si>
    <t>+8801715262383</t>
  </si>
  <si>
    <t>badrulhaque73@yahoo.com</t>
  </si>
  <si>
    <t>ফরিদুর রেজা সাগর</t>
  </si>
  <si>
    <t>+8801798798329</t>
  </si>
  <si>
    <t>sagarhosen21@gmail.com</t>
  </si>
  <si>
    <t>Zafar Imam Chishty</t>
  </si>
  <si>
    <t>+8801971055673</t>
  </si>
  <si>
    <t>zic96@hotmail.com</t>
  </si>
  <si>
    <t>Monirul Islam</t>
  </si>
  <si>
    <t>+8801911205670</t>
  </si>
  <si>
    <t>monir2197@yahoo.com</t>
  </si>
  <si>
    <t>Ayub Talukder</t>
  </si>
  <si>
    <t>+8801787167865</t>
  </si>
  <si>
    <t>tayub1891@gmail.com</t>
  </si>
  <si>
    <t>Mesbah Gaja</t>
  </si>
  <si>
    <t>Meshbah037@gmail.com</t>
  </si>
  <si>
    <t>Shoriful Islam</t>
  </si>
  <si>
    <t>+8801307609787</t>
  </si>
  <si>
    <t>shoriful.memis@gmail.com</t>
  </si>
  <si>
    <t>Mishu Hoque</t>
  </si>
  <si>
    <t>+8801749383394</t>
  </si>
  <si>
    <t>Mishuhaque2000@gmail.com</t>
  </si>
  <si>
    <t>Bhabesh Sarker</t>
  </si>
  <si>
    <t>+8801711145085</t>
  </si>
  <si>
    <t>bhabeshsarkar1957@gmail.com</t>
  </si>
  <si>
    <t>Omar Faruque</t>
  </si>
  <si>
    <t>+8801712309671</t>
  </si>
  <si>
    <t>Zahurul Islam Rhohel</t>
  </si>
  <si>
    <t>+8801730003998</t>
  </si>
  <si>
    <t>zahurul.rhohel@yahoo.com</t>
  </si>
  <si>
    <t>Ahashan Habib</t>
  </si>
  <si>
    <t>+8801813844104</t>
  </si>
  <si>
    <t>ahsanbutex@gmail.com</t>
  </si>
  <si>
    <t>Sajib S Nill</t>
  </si>
  <si>
    <t>+8801847160464</t>
  </si>
  <si>
    <t>g.sajib@yahoo.com</t>
  </si>
  <si>
    <t>Mirza Hossain</t>
  </si>
  <si>
    <t>+8801977229104</t>
  </si>
  <si>
    <t>engrmirza48@gmail.com</t>
  </si>
  <si>
    <t>Anup Kanti Das</t>
  </si>
  <si>
    <t>+8801713493925</t>
  </si>
  <si>
    <t>anupkantifas@gmail.com</t>
  </si>
  <si>
    <t>Md Azman</t>
  </si>
  <si>
    <t>+8801713009587</t>
  </si>
  <si>
    <t>azmanselu@gmail.com</t>
  </si>
  <si>
    <t>Julian Mazhar</t>
  </si>
  <si>
    <t>+8801945506090</t>
  </si>
  <si>
    <t>julian.mazhar@gmail.com</t>
  </si>
  <si>
    <t>Md. Anwar Hossain</t>
  </si>
  <si>
    <t>+8801705034692</t>
  </si>
  <si>
    <t>anwar@hotmail.com</t>
  </si>
  <si>
    <t>Md Quamruzzaman Bhuiyan</t>
  </si>
  <si>
    <t>+8801519400200</t>
  </si>
  <si>
    <t>zamansubd@gmail.com</t>
  </si>
  <si>
    <t>Kazi Mohiuddin</t>
  </si>
  <si>
    <t>+8801708814922</t>
  </si>
  <si>
    <t>kazi1500@gmail.com</t>
  </si>
  <si>
    <t>KahKasha Begum</t>
  </si>
  <si>
    <t>+8801790602919</t>
  </si>
  <si>
    <t>begumkahkasha@gmail.com</t>
  </si>
  <si>
    <t>Md Abu Hanif Miah</t>
  </si>
  <si>
    <t>+8801975035058</t>
  </si>
  <si>
    <t>abu_hanif@yahoo.com</t>
  </si>
  <si>
    <t>Rezaul Karim</t>
  </si>
  <si>
    <t>+8801711236060</t>
  </si>
  <si>
    <t>rezaulkarim51@yahoo.com</t>
  </si>
  <si>
    <t>+8801766675388</t>
  </si>
  <si>
    <t>uzhossain@gmail.com</t>
  </si>
  <si>
    <t>Shafayet Khan</t>
  </si>
  <si>
    <t>+88001819147006</t>
  </si>
  <si>
    <t>shafayetkhan1960@gmail.com</t>
  </si>
  <si>
    <t>Saidur Rahman</t>
  </si>
  <si>
    <t>+8801730794634</t>
  </si>
  <si>
    <t>sayeed1973@gmail.com</t>
  </si>
  <si>
    <t>Šẫřḱẫř Ḃħẫĺoḃẫšẫ Tẫřẫ Ƿřẫȡễễƿ</t>
  </si>
  <si>
    <t>+8801405701533</t>
  </si>
  <si>
    <t>skprodip62@gmail.com</t>
  </si>
  <si>
    <t>Paknoor Chisty</t>
  </si>
  <si>
    <t>+966565156482</t>
  </si>
  <si>
    <t>paknoor2004@yahoo.com</t>
  </si>
  <si>
    <t>Hemendra Chandra Dasgupta</t>
  </si>
  <si>
    <t>+8801817585737</t>
  </si>
  <si>
    <t>hemendrachandrad@gmail.com</t>
  </si>
  <si>
    <t>Mizan Chowdhury</t>
  </si>
  <si>
    <t>+8801819464390</t>
  </si>
  <si>
    <t>barrister.mizanchowdhury@gmail.com</t>
  </si>
  <si>
    <t>Kamruzzaman Pinto</t>
  </si>
  <si>
    <t>+8801713543966</t>
  </si>
  <si>
    <t>kamruzzanpintu@gmail.com</t>
  </si>
  <si>
    <t>Masoodur Rahman Khan</t>
  </si>
  <si>
    <t>+8801915637687</t>
  </si>
  <si>
    <t>masoodurrahmankhan1@gmail.com</t>
  </si>
  <si>
    <t>Md. Saidur Rahman</t>
  </si>
  <si>
    <t>+8801819227941</t>
  </si>
  <si>
    <t>shikdar2000@yahoo.com</t>
  </si>
  <si>
    <t>Emon Hasan Maruf</t>
  </si>
  <si>
    <t>+8801939436311</t>
  </si>
  <si>
    <t>emonhasanm@gmail.com</t>
  </si>
  <si>
    <t>Najmul A H</t>
  </si>
  <si>
    <t>+8801713366609</t>
  </si>
  <si>
    <t>najmhussain48@gmail.com</t>
  </si>
  <si>
    <t>Jahangir Alam</t>
  </si>
  <si>
    <t>+8801850105050</t>
  </si>
  <si>
    <t>jahangiralambd3256@gmail.com</t>
  </si>
  <si>
    <t>Krishibid Fazlur Rahman</t>
  </si>
  <si>
    <t>+8801713069857</t>
  </si>
  <si>
    <t>frahman.gmbb@gmail.com</t>
  </si>
  <si>
    <t>Mainul Islam</t>
  </si>
  <si>
    <t>+8801714174510</t>
  </si>
  <si>
    <t>parjoarlockhouse786@gmail.com</t>
  </si>
  <si>
    <t>Kaniz Anee</t>
  </si>
  <si>
    <t>+8801775399654</t>
  </si>
  <si>
    <t>kaniz100ane@gmail.com</t>
  </si>
  <si>
    <t>Jaññatul Fah Minä</t>
  </si>
  <si>
    <t>fahminamina729@gmail.com</t>
  </si>
  <si>
    <t>মামুনুর রশীদ লিমন</t>
  </si>
  <si>
    <t>+8801764601406</t>
  </si>
  <si>
    <t>mmrashid@iom.int</t>
  </si>
  <si>
    <t>Hanif Reza০</t>
  </si>
  <si>
    <t>+8801742830589</t>
  </si>
  <si>
    <t>mikehu070@gmail.com</t>
  </si>
  <si>
    <t>ummemaria rab</t>
  </si>
  <si>
    <t>+8801838003956</t>
  </si>
  <si>
    <t>ummemaria_xyz44@yahoo.com</t>
  </si>
  <si>
    <t>shamima shormin</t>
  </si>
  <si>
    <t>+8801717157484</t>
  </si>
  <si>
    <t>shamima30bcs@gmail.com</t>
  </si>
  <si>
    <t>শারমিন চৌধুরি</t>
  </si>
  <si>
    <t>+8801868434665</t>
  </si>
  <si>
    <t>saidulahmed8533@gmail.com</t>
  </si>
  <si>
    <t>Kazi Imran</t>
  </si>
  <si>
    <t>+8801735725280</t>
  </si>
  <si>
    <t>kaziimran121@gmail.com</t>
  </si>
  <si>
    <t>Jahidul Islam</t>
  </si>
  <si>
    <t>+8801919608121</t>
  </si>
  <si>
    <t>fatematours@gmail.com</t>
  </si>
  <si>
    <t>Faruk Sardar</t>
  </si>
  <si>
    <t>+8801913543819</t>
  </si>
  <si>
    <t>faruksardar202020@gmail.com</t>
  </si>
  <si>
    <t>Moklesur Rahman Sikdar</t>
  </si>
  <si>
    <t>+60192859153</t>
  </si>
  <si>
    <t>bidanas743115@gmail.com</t>
  </si>
  <si>
    <t>Farzana Bobi Chumki</t>
  </si>
  <si>
    <t>+8801794551813</t>
  </si>
  <si>
    <t>farzanabobichumki4599@gmail.com</t>
  </si>
  <si>
    <t>Mozammel Haque</t>
  </si>
  <si>
    <t>+8801815052656</t>
  </si>
  <si>
    <t>kazimozammelhaque8@gmail.com</t>
  </si>
  <si>
    <t>Taijul Islam</t>
  </si>
  <si>
    <t>+8801716292598</t>
  </si>
  <si>
    <t>islamtaijul016@gmail.com</t>
  </si>
  <si>
    <t>IBRAHIM ZAMAN ANIM</t>
  </si>
  <si>
    <t>+8801765898940</t>
  </si>
  <si>
    <t>animzaman717@gmail.com</t>
  </si>
  <si>
    <t>Shams Mohammed Noman</t>
  </si>
  <si>
    <t>+8801715299695</t>
  </si>
  <si>
    <t>drshams_noman@yahoo.com</t>
  </si>
  <si>
    <t>Redwan Hossain Mizi</t>
  </si>
  <si>
    <t>+8801761644110</t>
  </si>
  <si>
    <t>Rredwanew@gmail.com</t>
  </si>
  <si>
    <t>Shahjahan Biswas</t>
  </si>
  <si>
    <t>shahjahanbiswas2019@gmail.com</t>
  </si>
  <si>
    <t>Nazrul Islam</t>
  </si>
  <si>
    <t>+8801610991130</t>
  </si>
  <si>
    <t>nazrulislam991139@gmail.com</t>
  </si>
  <si>
    <t>Tanvir Ahmed</t>
  </si>
  <si>
    <t>+8801978855122</t>
  </si>
  <si>
    <t>tanvirluckyhl@yahoo.com</t>
  </si>
  <si>
    <t>Mokhlesur Rahman</t>
  </si>
  <si>
    <t>+8801725884339</t>
  </si>
  <si>
    <t>mokhlesurrahman2@gmail.com</t>
  </si>
  <si>
    <t>দরবারে বাইতুল আমিন</t>
  </si>
  <si>
    <t>+8801744527888</t>
  </si>
  <si>
    <t>alauddinsm2525@gmail.com</t>
  </si>
  <si>
    <t>Munir Islam</t>
  </si>
  <si>
    <t>+8801769765430</t>
  </si>
  <si>
    <t>munir210864@gmail.com</t>
  </si>
  <si>
    <t>Shafayet Hassan</t>
  </si>
  <si>
    <t>+8801717071992</t>
  </si>
  <si>
    <t>shafayet88@yahoo.com</t>
  </si>
  <si>
    <t>মন্নুজান সুলতানা মিলি</t>
  </si>
  <si>
    <t>+8801755196766</t>
  </si>
  <si>
    <t>monnujanmili207@gmail.com</t>
  </si>
  <si>
    <t>Kabel Uddin</t>
  </si>
  <si>
    <t>+8801925928476</t>
  </si>
  <si>
    <t>masumkabel@yahoo.com</t>
  </si>
  <si>
    <t>MD Faysal Ahmed</t>
  </si>
  <si>
    <t>+8801701941821</t>
  </si>
  <si>
    <t>faysalamin35@gmail.com</t>
  </si>
  <si>
    <t>+8801310214266</t>
  </si>
  <si>
    <t>+8801797011001</t>
  </si>
  <si>
    <t>+8801637188295</t>
  </si>
  <si>
    <t>+8801977549765</t>
  </si>
  <si>
    <t>Team Name</t>
  </si>
  <si>
    <t>Leads</t>
  </si>
  <si>
    <t>Zabedur</t>
  </si>
  <si>
    <t>Habib</t>
  </si>
  <si>
    <t>Sagar</t>
  </si>
  <si>
    <t>Jahedul</t>
  </si>
  <si>
    <t>Total Leads</t>
  </si>
  <si>
    <t>za</t>
  </si>
  <si>
    <t>ok</t>
  </si>
  <si>
    <t>zabedur</t>
  </si>
  <si>
    <t>zahedul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</si>
</sst>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49" fontId="19" fillId="0" borderId="0" xfId="0" applyNumberFormat="1" applyFont="1" applyFill="1" applyBorder="1" applyAlignment="1" applyProtection="1">
      <alignment horizontal="center" vertical="center"/>
    </xf>
    <xf numFmtId="49" fontId="18" fillId="0" borderId="0" xfId="0" applyNumberFormat="1" applyFont="1" applyFill="1" applyBorder="1" applyAlignment="1" applyProtection="1">
      <alignment horizontal="left"/>
    </xf>
    <xf numFmtId="49" fontId="0" fillId="0" borderId="0" xfId="0" applyNumberFormat="1"/>
    <xf numFmtId="49" fontId="21" fillId="0" borderId="0" xfId="0" applyNumberFormat="1" applyFont="1" applyFill="1" applyBorder="1" applyAlignment="1" applyProtection="1">
      <alignment horizontal="right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3" fillId="0" borderId="10" xfId="0" applyFont="1" applyFill="1" applyBorder="1" applyAlignment="1">
      <alignment horizontal="center"/>
    </xf>
    <xf numFmtId="0" fontId="0" fillId="0" borderId="0" xfId="0" applyFont="1" applyFill="1" applyAlignment="1"/>
    <xf numFmtId="0" fontId="24" fillId="0" borderId="11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99"/>
  <sheetViews>
    <sheetView workbookViewId="0">
      <selection activeCell="A60" sqref="A60:XFD60"/>
    </sheetView>
  </sheetViews>
  <sheetFormatPr defaultRowHeight="15" x14ac:dyDescent="0.25"/>
  <cols>
    <col min="1" max="1" width="10.5703125" style="7" customWidth="1"/>
    <col min="2" max="2" width="29.28515625" bestFit="1" customWidth="1"/>
    <col min="3" max="3" width="18.5703125" style="10" bestFit="1" customWidth="1"/>
    <col min="4" max="4" width="38" bestFit="1" customWidth="1"/>
    <col min="5" max="5" width="15.28515625" customWidth="1"/>
    <col min="6" max="6" width="14" customWidth="1"/>
    <col min="7" max="7" width="11.5703125" style="7" bestFit="1" customWidth="1"/>
    <col min="8" max="8" width="14.140625" bestFit="1" customWidth="1"/>
  </cols>
  <sheetData>
    <row r="1" spans="1:9" ht="30" x14ac:dyDescent="0.25">
      <c r="A1" s="2" t="s">
        <v>5</v>
      </c>
      <c r="B1" s="3" t="s">
        <v>0</v>
      </c>
      <c r="C1" s="8" t="s">
        <v>1</v>
      </c>
      <c r="D1" s="3" t="s">
        <v>2</v>
      </c>
      <c r="E1" s="4" t="s">
        <v>6</v>
      </c>
      <c r="F1" s="5" t="s">
        <v>7</v>
      </c>
      <c r="G1" s="3" t="s">
        <v>8</v>
      </c>
      <c r="H1" s="6" t="s">
        <v>9</v>
      </c>
    </row>
    <row r="2" spans="1:9" x14ac:dyDescent="0.25">
      <c r="A2" s="7">
        <v>4</v>
      </c>
      <c r="B2" s="1" t="s">
        <v>18</v>
      </c>
      <c r="C2" s="9" t="s">
        <v>19</v>
      </c>
      <c r="D2" s="1" t="s">
        <v>20</v>
      </c>
      <c r="E2" s="12" t="s">
        <v>10</v>
      </c>
      <c r="F2">
        <v>4</v>
      </c>
      <c r="G2" s="7">
        <v>1</v>
      </c>
      <c r="H2" s="12" t="s">
        <v>17</v>
      </c>
      <c r="I2" s="1" t="s">
        <v>318</v>
      </c>
    </row>
    <row r="3" spans="1:9" x14ac:dyDescent="0.25">
      <c r="A3" s="7">
        <v>4</v>
      </c>
      <c r="B3" s="1" t="s">
        <v>21</v>
      </c>
      <c r="C3" s="9" t="s">
        <v>22</v>
      </c>
      <c r="D3" s="1" t="s">
        <v>23</v>
      </c>
      <c r="E3" s="12" t="s">
        <v>10</v>
      </c>
      <c r="F3">
        <v>4</v>
      </c>
      <c r="G3" s="7">
        <v>1</v>
      </c>
      <c r="H3" s="12" t="s">
        <v>17</v>
      </c>
      <c r="I3" s="1" t="s">
        <v>318</v>
      </c>
    </row>
    <row r="4" spans="1:9" x14ac:dyDescent="0.25">
      <c r="A4" s="7">
        <v>4</v>
      </c>
      <c r="B4" s="1" t="s">
        <v>24</v>
      </c>
      <c r="C4" s="9" t="s">
        <v>25</v>
      </c>
      <c r="D4" s="1" t="s">
        <v>26</v>
      </c>
      <c r="E4" s="12" t="s">
        <v>10</v>
      </c>
      <c r="F4">
        <v>4</v>
      </c>
      <c r="G4" s="7">
        <v>1</v>
      </c>
      <c r="H4" s="12" t="s">
        <v>17</v>
      </c>
      <c r="I4" s="1" t="s">
        <v>318</v>
      </c>
    </row>
    <row r="5" spans="1:9" x14ac:dyDescent="0.25">
      <c r="A5" s="7">
        <v>4</v>
      </c>
      <c r="B5" s="1" t="s">
        <v>27</v>
      </c>
      <c r="C5" s="9" t="s">
        <v>28</v>
      </c>
      <c r="D5" s="1" t="s">
        <v>29</v>
      </c>
      <c r="E5" s="12" t="s">
        <v>10</v>
      </c>
      <c r="F5">
        <v>4</v>
      </c>
      <c r="G5" s="7">
        <v>1</v>
      </c>
      <c r="H5" s="12" t="s">
        <v>17</v>
      </c>
      <c r="I5" s="1" t="s">
        <v>318</v>
      </c>
    </row>
    <row r="6" spans="1:9" x14ac:dyDescent="0.25">
      <c r="A6" s="7">
        <v>4</v>
      </c>
      <c r="B6" s="1" t="s">
        <v>30</v>
      </c>
      <c r="C6" s="9" t="s">
        <v>31</v>
      </c>
      <c r="D6" s="1" t="s">
        <v>32</v>
      </c>
      <c r="E6" s="12" t="s">
        <v>10</v>
      </c>
      <c r="F6">
        <v>4</v>
      </c>
      <c r="G6" s="7">
        <v>1</v>
      </c>
      <c r="H6" s="12" t="s">
        <v>17</v>
      </c>
      <c r="I6" s="1" t="s">
        <v>318</v>
      </c>
    </row>
    <row r="7" spans="1:9" x14ac:dyDescent="0.25">
      <c r="A7" s="7">
        <v>4</v>
      </c>
      <c r="B7" s="1" t="s">
        <v>33</v>
      </c>
      <c r="C7" s="9" t="s">
        <v>34</v>
      </c>
      <c r="D7" s="1" t="s">
        <v>35</v>
      </c>
      <c r="E7" s="12" t="s">
        <v>10</v>
      </c>
      <c r="F7">
        <v>4</v>
      </c>
      <c r="G7" s="7">
        <v>1</v>
      </c>
      <c r="H7" s="12" t="s">
        <v>17</v>
      </c>
      <c r="I7" s="1" t="s">
        <v>318</v>
      </c>
    </row>
    <row r="8" spans="1:9" x14ac:dyDescent="0.25">
      <c r="A8" s="7">
        <v>4</v>
      </c>
      <c r="B8" s="1" t="s">
        <v>36</v>
      </c>
      <c r="C8" s="9" t="s">
        <v>37</v>
      </c>
      <c r="D8" s="1" t="s">
        <v>38</v>
      </c>
      <c r="E8" s="12" t="s">
        <v>10</v>
      </c>
      <c r="F8">
        <v>4</v>
      </c>
      <c r="G8" s="7">
        <v>1</v>
      </c>
      <c r="H8" s="12" t="s">
        <v>17</v>
      </c>
      <c r="I8" s="1" t="s">
        <v>318</v>
      </c>
    </row>
    <row r="9" spans="1:9" x14ac:dyDescent="0.25">
      <c r="A9" s="7">
        <v>4</v>
      </c>
      <c r="B9" s="1" t="s">
        <v>39</v>
      </c>
      <c r="C9" s="9" t="s">
        <v>40</v>
      </c>
      <c r="D9" s="1" t="s">
        <v>41</v>
      </c>
      <c r="E9" s="12" t="s">
        <v>10</v>
      </c>
      <c r="F9">
        <v>4</v>
      </c>
      <c r="G9" s="7">
        <v>1</v>
      </c>
      <c r="H9" s="12" t="s">
        <v>17</v>
      </c>
      <c r="I9" s="1" t="s">
        <v>318</v>
      </c>
    </row>
    <row r="10" spans="1:9" x14ac:dyDescent="0.25">
      <c r="A10" s="7">
        <v>4</v>
      </c>
      <c r="B10" s="1" t="s">
        <v>42</v>
      </c>
      <c r="C10" s="9" t="s">
        <v>43</v>
      </c>
      <c r="D10" s="1" t="s">
        <v>44</v>
      </c>
      <c r="E10" s="12" t="s">
        <v>10</v>
      </c>
      <c r="F10">
        <v>4</v>
      </c>
      <c r="G10" s="7">
        <v>1</v>
      </c>
      <c r="H10" s="12" t="s">
        <v>17</v>
      </c>
      <c r="I10" s="1" t="s">
        <v>318</v>
      </c>
    </row>
    <row r="11" spans="1:9" x14ac:dyDescent="0.25">
      <c r="A11" s="7">
        <v>4</v>
      </c>
      <c r="B11" s="1" t="s">
        <v>45</v>
      </c>
      <c r="C11" s="9" t="s">
        <v>46</v>
      </c>
      <c r="D11" s="1" t="s">
        <v>47</v>
      </c>
      <c r="E11" s="12" t="s">
        <v>10</v>
      </c>
      <c r="F11">
        <v>4</v>
      </c>
      <c r="G11" s="7">
        <v>1</v>
      </c>
      <c r="H11" s="12" t="s">
        <v>17</v>
      </c>
      <c r="I11" s="1" t="s">
        <v>318</v>
      </c>
    </row>
    <row r="12" spans="1:9" x14ac:dyDescent="0.25">
      <c r="A12" s="7">
        <v>4</v>
      </c>
      <c r="B12" s="1" t="s">
        <v>48</v>
      </c>
      <c r="C12" s="9" t="s">
        <v>49</v>
      </c>
      <c r="D12" s="1" t="s">
        <v>50</v>
      </c>
      <c r="E12" s="12" t="s">
        <v>10</v>
      </c>
      <c r="F12">
        <v>4</v>
      </c>
      <c r="G12" s="7">
        <v>1</v>
      </c>
      <c r="H12" s="12" t="s">
        <v>17</v>
      </c>
      <c r="I12" s="1" t="s">
        <v>318</v>
      </c>
    </row>
    <row r="13" spans="1:9" x14ac:dyDescent="0.25">
      <c r="A13" s="7">
        <v>4</v>
      </c>
      <c r="B13" s="1" t="s">
        <v>51</v>
      </c>
      <c r="C13" s="9" t="s">
        <v>52</v>
      </c>
      <c r="D13" s="1" t="s">
        <v>53</v>
      </c>
      <c r="E13" s="12" t="s">
        <v>10</v>
      </c>
      <c r="F13">
        <v>4</v>
      </c>
      <c r="G13" s="7">
        <v>1</v>
      </c>
      <c r="H13" s="12" t="s">
        <v>17</v>
      </c>
      <c r="I13" s="1" t="s">
        <v>318</v>
      </c>
    </row>
    <row r="14" spans="1:9" x14ac:dyDescent="0.25">
      <c r="A14" s="7">
        <v>4</v>
      </c>
      <c r="B14" s="1" t="s">
        <v>54</v>
      </c>
      <c r="C14" s="9" t="s">
        <v>55</v>
      </c>
      <c r="D14" s="1" t="s">
        <v>56</v>
      </c>
      <c r="E14" s="12" t="s">
        <v>10</v>
      </c>
      <c r="F14">
        <v>4</v>
      </c>
      <c r="G14" s="7">
        <v>1</v>
      </c>
      <c r="H14" s="12" t="s">
        <v>17</v>
      </c>
      <c r="I14" s="1" t="s">
        <v>318</v>
      </c>
    </row>
    <row r="15" spans="1:9" x14ac:dyDescent="0.25">
      <c r="A15" s="7">
        <v>4</v>
      </c>
      <c r="B15" s="1" t="s">
        <v>57</v>
      </c>
      <c r="C15" s="9" t="s">
        <v>58</v>
      </c>
      <c r="D15" s="1" t="s">
        <v>59</v>
      </c>
      <c r="E15" s="12" t="s">
        <v>10</v>
      </c>
      <c r="F15">
        <v>4</v>
      </c>
      <c r="G15" s="7">
        <v>1</v>
      </c>
      <c r="H15" s="12" t="s">
        <v>17</v>
      </c>
      <c r="I15" s="1" t="s">
        <v>318</v>
      </c>
    </row>
    <row r="16" spans="1:9" x14ac:dyDescent="0.25">
      <c r="A16" s="7">
        <v>4</v>
      </c>
      <c r="B16" s="1" t="s">
        <v>60</v>
      </c>
      <c r="C16" s="9" t="s">
        <v>61</v>
      </c>
      <c r="D16" s="1" t="s">
        <v>62</v>
      </c>
      <c r="E16" s="12" t="s">
        <v>10</v>
      </c>
      <c r="F16">
        <v>4</v>
      </c>
      <c r="G16" s="7">
        <v>1</v>
      </c>
      <c r="H16" s="12" t="s">
        <v>17</v>
      </c>
      <c r="I16" s="1" t="s">
        <v>318</v>
      </c>
    </row>
    <row r="17" spans="1:9" x14ac:dyDescent="0.25">
      <c r="A17" s="7">
        <v>4</v>
      </c>
      <c r="B17" s="1" t="s">
        <v>63</v>
      </c>
      <c r="C17" s="9" t="s">
        <v>64</v>
      </c>
      <c r="D17" s="1" t="s">
        <v>65</v>
      </c>
      <c r="E17" s="12" t="s">
        <v>10</v>
      </c>
      <c r="F17">
        <v>4</v>
      </c>
      <c r="G17" s="7">
        <v>1</v>
      </c>
      <c r="H17" s="12" t="s">
        <v>17</v>
      </c>
      <c r="I17" s="1" t="s">
        <v>318</v>
      </c>
    </row>
    <row r="18" spans="1:9" x14ac:dyDescent="0.25">
      <c r="A18" s="7">
        <v>4</v>
      </c>
      <c r="B18" s="1" t="s">
        <v>66</v>
      </c>
      <c r="C18" s="9" t="s">
        <v>67</v>
      </c>
      <c r="D18" s="1" t="s">
        <v>68</v>
      </c>
      <c r="E18" s="12" t="s">
        <v>10</v>
      </c>
      <c r="F18">
        <v>4</v>
      </c>
      <c r="G18" s="7">
        <v>1</v>
      </c>
      <c r="H18" s="12" t="s">
        <v>17</v>
      </c>
      <c r="I18" s="1" t="s">
        <v>318</v>
      </c>
    </row>
    <row r="19" spans="1:9" x14ac:dyDescent="0.25">
      <c r="A19" s="7">
        <v>4</v>
      </c>
      <c r="B19" s="1" t="s">
        <v>69</v>
      </c>
      <c r="C19" s="9" t="s">
        <v>70</v>
      </c>
      <c r="D19" s="1" t="s">
        <v>71</v>
      </c>
      <c r="E19" s="12" t="s">
        <v>10</v>
      </c>
      <c r="F19">
        <v>4</v>
      </c>
      <c r="G19" s="7">
        <v>1</v>
      </c>
      <c r="H19" s="12" t="s">
        <v>17</v>
      </c>
      <c r="I19" s="1" t="s">
        <v>318</v>
      </c>
    </row>
    <row r="20" spans="1:9" x14ac:dyDescent="0.25">
      <c r="A20" s="7">
        <v>4</v>
      </c>
      <c r="B20" s="1" t="s">
        <v>72</v>
      </c>
      <c r="C20" s="9" t="s">
        <v>73</v>
      </c>
      <c r="D20" s="1" t="s">
        <v>74</v>
      </c>
      <c r="E20" s="12" t="s">
        <v>10</v>
      </c>
      <c r="F20">
        <v>12</v>
      </c>
      <c r="G20" s="7">
        <v>1</v>
      </c>
      <c r="H20" s="12" t="s">
        <v>17</v>
      </c>
      <c r="I20" s="1" t="s">
        <v>16</v>
      </c>
    </row>
    <row r="21" spans="1:9" x14ac:dyDescent="0.25">
      <c r="A21" s="7">
        <v>4</v>
      </c>
      <c r="B21" s="1" t="s">
        <v>75</v>
      </c>
      <c r="C21" s="9" t="s">
        <v>76</v>
      </c>
      <c r="D21" s="1" t="s">
        <v>77</v>
      </c>
      <c r="E21" s="12" t="s">
        <v>10</v>
      </c>
      <c r="F21">
        <v>12</v>
      </c>
      <c r="G21" s="7">
        <v>1</v>
      </c>
      <c r="H21" s="12" t="s">
        <v>17</v>
      </c>
      <c r="I21" s="1" t="s">
        <v>16</v>
      </c>
    </row>
    <row r="22" spans="1:9" x14ac:dyDescent="0.25">
      <c r="A22" s="7">
        <v>4</v>
      </c>
      <c r="B22" s="1" t="s">
        <v>78</v>
      </c>
      <c r="C22" s="9" t="s">
        <v>79</v>
      </c>
      <c r="D22" s="1" t="s">
        <v>80</v>
      </c>
      <c r="E22" s="12" t="s">
        <v>10</v>
      </c>
      <c r="F22">
        <v>12</v>
      </c>
      <c r="G22" s="7">
        <v>1</v>
      </c>
      <c r="H22" s="12" t="s">
        <v>17</v>
      </c>
      <c r="I22" s="1" t="s">
        <v>16</v>
      </c>
    </row>
    <row r="23" spans="1:9" x14ac:dyDescent="0.25">
      <c r="A23" s="7">
        <v>4</v>
      </c>
      <c r="B23" s="1" t="s">
        <v>81</v>
      </c>
      <c r="C23" s="9" t="s">
        <v>82</v>
      </c>
      <c r="D23" s="1" t="s">
        <v>83</v>
      </c>
      <c r="E23" s="12" t="s">
        <v>10</v>
      </c>
      <c r="F23">
        <v>12</v>
      </c>
      <c r="G23" s="7">
        <v>1</v>
      </c>
      <c r="H23" s="12" t="s">
        <v>17</v>
      </c>
      <c r="I23" s="1" t="s">
        <v>16</v>
      </c>
    </row>
    <row r="24" spans="1:9" x14ac:dyDescent="0.25">
      <c r="A24" s="7">
        <v>4</v>
      </c>
      <c r="B24" s="1" t="s">
        <v>3</v>
      </c>
      <c r="C24" s="9" t="s">
        <v>84</v>
      </c>
      <c r="D24" s="1" t="s">
        <v>85</v>
      </c>
      <c r="E24" s="12" t="s">
        <v>10</v>
      </c>
      <c r="F24">
        <v>12</v>
      </c>
      <c r="G24" s="7">
        <v>1</v>
      </c>
      <c r="H24" s="12" t="s">
        <v>17</v>
      </c>
      <c r="I24" s="1" t="s">
        <v>16</v>
      </c>
    </row>
    <row r="25" spans="1:9" x14ac:dyDescent="0.25">
      <c r="A25" s="7">
        <v>4</v>
      </c>
      <c r="B25" s="1" t="s">
        <v>86</v>
      </c>
      <c r="C25" s="9" t="s">
        <v>87</v>
      </c>
      <c r="D25" s="1" t="s">
        <v>88</v>
      </c>
      <c r="E25" s="12" t="s">
        <v>10</v>
      </c>
      <c r="F25">
        <v>12</v>
      </c>
      <c r="G25" s="7">
        <v>1</v>
      </c>
      <c r="H25" s="12" t="s">
        <v>17</v>
      </c>
      <c r="I25" s="1" t="s">
        <v>16</v>
      </c>
    </row>
    <row r="26" spans="1:9" x14ac:dyDescent="0.25">
      <c r="A26" s="7">
        <v>4</v>
      </c>
      <c r="B26" s="1" t="s">
        <v>89</v>
      </c>
      <c r="C26" s="9" t="s">
        <v>90</v>
      </c>
      <c r="D26" s="1" t="s">
        <v>91</v>
      </c>
      <c r="E26" s="12" t="s">
        <v>10</v>
      </c>
      <c r="F26">
        <v>12</v>
      </c>
      <c r="G26" s="7">
        <v>1</v>
      </c>
      <c r="H26" s="12" t="s">
        <v>17</v>
      </c>
      <c r="I26" s="1" t="s">
        <v>16</v>
      </c>
    </row>
    <row r="27" spans="1:9" x14ac:dyDescent="0.25">
      <c r="A27" s="7">
        <v>4</v>
      </c>
      <c r="B27" s="1" t="s">
        <v>92</v>
      </c>
      <c r="C27" s="9" t="s">
        <v>93</v>
      </c>
      <c r="D27" s="1" t="s">
        <v>94</v>
      </c>
      <c r="E27" s="12" t="s">
        <v>10</v>
      </c>
      <c r="F27">
        <v>12</v>
      </c>
      <c r="G27" s="7">
        <v>1</v>
      </c>
      <c r="H27" s="12" t="s">
        <v>17</v>
      </c>
      <c r="I27" s="1" t="s">
        <v>16</v>
      </c>
    </row>
    <row r="28" spans="1:9" x14ac:dyDescent="0.25">
      <c r="A28" s="7">
        <v>4</v>
      </c>
      <c r="B28" s="1" t="s">
        <v>95</v>
      </c>
      <c r="C28" s="9" t="s">
        <v>96</v>
      </c>
      <c r="D28" s="1" t="s">
        <v>97</v>
      </c>
      <c r="E28" s="12" t="s">
        <v>10</v>
      </c>
      <c r="F28">
        <v>12</v>
      </c>
      <c r="G28" s="7">
        <v>1</v>
      </c>
      <c r="H28" s="12" t="s">
        <v>17</v>
      </c>
      <c r="I28" s="1" t="s">
        <v>16</v>
      </c>
    </row>
    <row r="29" spans="1:9" x14ac:dyDescent="0.25">
      <c r="A29" s="7">
        <v>4</v>
      </c>
      <c r="B29" s="1" t="s">
        <v>98</v>
      </c>
      <c r="C29" s="11" t="s">
        <v>305</v>
      </c>
      <c r="D29" s="1" t="s">
        <v>99</v>
      </c>
      <c r="E29" s="12" t="s">
        <v>10</v>
      </c>
      <c r="F29">
        <v>12</v>
      </c>
      <c r="G29" s="7">
        <v>1</v>
      </c>
      <c r="H29" s="12" t="s">
        <v>17</v>
      </c>
      <c r="I29" s="1" t="s">
        <v>16</v>
      </c>
    </row>
    <row r="30" spans="1:9" x14ac:dyDescent="0.25">
      <c r="A30" s="7">
        <v>4</v>
      </c>
      <c r="B30" s="1" t="s">
        <v>100</v>
      </c>
      <c r="C30" s="9" t="s">
        <v>101</v>
      </c>
      <c r="D30" s="1" t="s">
        <v>102</v>
      </c>
      <c r="E30" s="12" t="s">
        <v>10</v>
      </c>
      <c r="F30">
        <v>12</v>
      </c>
      <c r="G30" s="7">
        <v>1</v>
      </c>
      <c r="H30" s="12" t="s">
        <v>17</v>
      </c>
      <c r="I30" s="1" t="s">
        <v>16</v>
      </c>
    </row>
    <row r="31" spans="1:9" x14ac:dyDescent="0.25">
      <c r="A31" s="7">
        <v>4</v>
      </c>
      <c r="B31" s="1" t="s">
        <v>103</v>
      </c>
      <c r="C31" s="9" t="s">
        <v>104</v>
      </c>
      <c r="D31" s="1" t="s">
        <v>105</v>
      </c>
      <c r="E31" s="12" t="s">
        <v>10</v>
      </c>
      <c r="F31">
        <v>12</v>
      </c>
      <c r="G31" s="7">
        <v>1</v>
      </c>
      <c r="H31" s="12" t="s">
        <v>17</v>
      </c>
      <c r="I31" s="1" t="s">
        <v>16</v>
      </c>
    </row>
    <row r="32" spans="1:9" x14ac:dyDescent="0.25">
      <c r="A32" s="7">
        <v>4</v>
      </c>
      <c r="B32" s="1" t="s">
        <v>106</v>
      </c>
      <c r="C32" s="9" t="s">
        <v>107</v>
      </c>
      <c r="D32" s="1" t="s">
        <v>108</v>
      </c>
      <c r="E32" s="12" t="s">
        <v>10</v>
      </c>
      <c r="F32">
        <v>12</v>
      </c>
      <c r="G32" s="7">
        <v>1</v>
      </c>
      <c r="H32" s="12" t="s">
        <v>17</v>
      </c>
      <c r="I32" s="1" t="s">
        <v>16</v>
      </c>
    </row>
    <row r="33" spans="1:9" x14ac:dyDescent="0.25">
      <c r="A33" s="7">
        <v>4</v>
      </c>
      <c r="B33" s="1" t="s">
        <v>109</v>
      </c>
      <c r="C33" s="9" t="s">
        <v>110</v>
      </c>
      <c r="D33" s="1" t="s">
        <v>111</v>
      </c>
      <c r="E33" s="12" t="s">
        <v>10</v>
      </c>
      <c r="F33">
        <v>12</v>
      </c>
      <c r="G33" s="7">
        <v>1</v>
      </c>
      <c r="H33" s="12" t="s">
        <v>17</v>
      </c>
      <c r="I33" s="1" t="s">
        <v>16</v>
      </c>
    </row>
    <row r="34" spans="1:9" x14ac:dyDescent="0.25">
      <c r="A34" s="7">
        <v>4</v>
      </c>
      <c r="B34" s="1" t="s">
        <v>112</v>
      </c>
      <c r="C34" s="9" t="s">
        <v>113</v>
      </c>
      <c r="D34" s="1" t="s">
        <v>114</v>
      </c>
      <c r="E34" s="12" t="s">
        <v>10</v>
      </c>
      <c r="F34">
        <v>12</v>
      </c>
      <c r="G34" s="7">
        <v>1</v>
      </c>
      <c r="H34" s="12" t="s">
        <v>17</v>
      </c>
      <c r="I34" s="1" t="s">
        <v>16</v>
      </c>
    </row>
    <row r="35" spans="1:9" x14ac:dyDescent="0.25">
      <c r="A35" s="7">
        <v>4</v>
      </c>
      <c r="B35" s="1" t="s">
        <v>115</v>
      </c>
      <c r="C35" s="9" t="s">
        <v>116</v>
      </c>
      <c r="D35" s="1" t="s">
        <v>117</v>
      </c>
      <c r="E35" s="12" t="s">
        <v>10</v>
      </c>
      <c r="F35">
        <v>12</v>
      </c>
      <c r="G35" s="7">
        <v>1</v>
      </c>
      <c r="H35" s="12" t="s">
        <v>17</v>
      </c>
      <c r="I35" s="1" t="s">
        <v>16</v>
      </c>
    </row>
    <row r="36" spans="1:9" x14ac:dyDescent="0.25">
      <c r="A36" s="7">
        <v>4</v>
      </c>
      <c r="B36" s="1" t="s">
        <v>118</v>
      </c>
      <c r="C36" s="9" t="s">
        <v>119</v>
      </c>
      <c r="D36" s="1" t="s">
        <v>120</v>
      </c>
      <c r="E36" s="12" t="s">
        <v>10</v>
      </c>
      <c r="F36">
        <v>12</v>
      </c>
      <c r="G36" s="7">
        <v>1</v>
      </c>
      <c r="H36" s="12" t="s">
        <v>17</v>
      </c>
      <c r="I36" s="1" t="s">
        <v>16</v>
      </c>
    </row>
    <row r="37" spans="1:9" x14ac:dyDescent="0.25">
      <c r="A37" s="7">
        <v>4</v>
      </c>
      <c r="B37" s="1" t="s">
        <v>121</v>
      </c>
      <c r="C37" s="9" t="s">
        <v>122</v>
      </c>
      <c r="D37" s="1" t="s">
        <v>123</v>
      </c>
      <c r="E37" s="12" t="s">
        <v>10</v>
      </c>
      <c r="F37">
        <v>8</v>
      </c>
      <c r="G37" s="7">
        <v>1</v>
      </c>
      <c r="H37" s="12" t="s">
        <v>17</v>
      </c>
      <c r="I37" s="1" t="s">
        <v>14</v>
      </c>
    </row>
    <row r="38" spans="1:9" x14ac:dyDescent="0.25">
      <c r="A38" s="7">
        <v>4</v>
      </c>
      <c r="B38" s="1" t="s">
        <v>124</v>
      </c>
      <c r="C38" s="9" t="s">
        <v>125</v>
      </c>
      <c r="D38" s="1" t="s">
        <v>126</v>
      </c>
      <c r="E38" s="12" t="s">
        <v>10</v>
      </c>
      <c r="F38">
        <v>8</v>
      </c>
      <c r="G38" s="7">
        <v>1</v>
      </c>
      <c r="H38" s="12" t="s">
        <v>17</v>
      </c>
      <c r="I38" s="1" t="s">
        <v>14</v>
      </c>
    </row>
    <row r="39" spans="1:9" x14ac:dyDescent="0.25">
      <c r="A39" s="7">
        <v>4</v>
      </c>
      <c r="B39" s="1" t="s">
        <v>127</v>
      </c>
      <c r="C39" s="9" t="s">
        <v>128</v>
      </c>
      <c r="D39" s="1" t="s">
        <v>129</v>
      </c>
      <c r="E39" s="12" t="s">
        <v>10</v>
      </c>
      <c r="F39">
        <v>8</v>
      </c>
      <c r="G39" s="7">
        <v>1</v>
      </c>
      <c r="H39" s="12" t="s">
        <v>17</v>
      </c>
      <c r="I39" s="1" t="s">
        <v>14</v>
      </c>
    </row>
    <row r="40" spans="1:9" x14ac:dyDescent="0.25">
      <c r="A40" s="7">
        <v>4</v>
      </c>
      <c r="B40" s="1" t="s">
        <v>130</v>
      </c>
      <c r="C40" s="11" t="s">
        <v>306</v>
      </c>
      <c r="D40" s="1" t="s">
        <v>131</v>
      </c>
      <c r="E40" s="12" t="s">
        <v>10</v>
      </c>
      <c r="F40">
        <v>8</v>
      </c>
      <c r="G40" s="7">
        <v>1</v>
      </c>
      <c r="H40" s="12" t="s">
        <v>17</v>
      </c>
      <c r="I40" s="1" t="s">
        <v>14</v>
      </c>
    </row>
    <row r="41" spans="1:9" x14ac:dyDescent="0.25">
      <c r="A41" s="7">
        <v>4</v>
      </c>
      <c r="B41" s="1" t="s">
        <v>132</v>
      </c>
      <c r="C41" s="9" t="s">
        <v>133</v>
      </c>
      <c r="D41" s="1" t="s">
        <v>134</v>
      </c>
      <c r="E41" s="12" t="s">
        <v>10</v>
      </c>
      <c r="F41">
        <v>8</v>
      </c>
      <c r="G41" s="7">
        <v>1</v>
      </c>
      <c r="H41" s="12" t="s">
        <v>17</v>
      </c>
      <c r="I41" s="1" t="s">
        <v>14</v>
      </c>
    </row>
    <row r="42" spans="1:9" x14ac:dyDescent="0.25">
      <c r="A42" s="7">
        <v>4</v>
      </c>
      <c r="B42" s="1" t="s">
        <v>135</v>
      </c>
      <c r="C42" s="9" t="s">
        <v>136</v>
      </c>
      <c r="D42" s="1" t="s">
        <v>137</v>
      </c>
      <c r="E42" s="12" t="s">
        <v>10</v>
      </c>
      <c r="F42">
        <v>8</v>
      </c>
      <c r="G42" s="7">
        <v>1</v>
      </c>
      <c r="H42" s="12" t="s">
        <v>17</v>
      </c>
      <c r="I42" s="1" t="s">
        <v>14</v>
      </c>
    </row>
    <row r="43" spans="1:9" x14ac:dyDescent="0.25">
      <c r="A43" s="7">
        <v>4</v>
      </c>
      <c r="B43" s="1" t="s">
        <v>138</v>
      </c>
      <c r="C43" s="9" t="s">
        <v>139</v>
      </c>
      <c r="D43" s="1" t="s">
        <v>140</v>
      </c>
      <c r="E43" s="12" t="s">
        <v>10</v>
      </c>
      <c r="F43">
        <v>8</v>
      </c>
      <c r="G43" s="7">
        <v>1</v>
      </c>
      <c r="H43" s="12" t="s">
        <v>17</v>
      </c>
      <c r="I43" s="1" t="s">
        <v>14</v>
      </c>
    </row>
    <row r="44" spans="1:9" x14ac:dyDescent="0.25">
      <c r="A44" s="7">
        <v>4</v>
      </c>
      <c r="B44" s="1" t="s">
        <v>141</v>
      </c>
      <c r="C44" s="9" t="s">
        <v>142</v>
      </c>
      <c r="D44" s="1" t="s">
        <v>53</v>
      </c>
      <c r="E44" s="12" t="s">
        <v>10</v>
      </c>
      <c r="F44">
        <v>8</v>
      </c>
      <c r="G44" s="7">
        <v>1</v>
      </c>
      <c r="H44" s="12" t="s">
        <v>17</v>
      </c>
      <c r="I44" s="1" t="s">
        <v>14</v>
      </c>
    </row>
    <row r="45" spans="1:9" x14ac:dyDescent="0.25">
      <c r="A45" s="7">
        <v>4</v>
      </c>
      <c r="B45" s="1" t="s">
        <v>143</v>
      </c>
      <c r="C45" s="9" t="s">
        <v>144</v>
      </c>
      <c r="D45" s="1" t="s">
        <v>145</v>
      </c>
      <c r="E45" s="12" t="s">
        <v>10</v>
      </c>
      <c r="F45">
        <v>8</v>
      </c>
      <c r="G45" s="7">
        <v>1</v>
      </c>
      <c r="H45" s="12" t="s">
        <v>17</v>
      </c>
      <c r="I45" s="1" t="s">
        <v>14</v>
      </c>
    </row>
    <row r="46" spans="1:9" x14ac:dyDescent="0.25">
      <c r="A46" s="7">
        <v>4</v>
      </c>
      <c r="B46" s="1" t="s">
        <v>146</v>
      </c>
      <c r="C46" s="9" t="s">
        <v>147</v>
      </c>
      <c r="D46" s="1" t="s">
        <v>148</v>
      </c>
      <c r="E46" s="12" t="s">
        <v>10</v>
      </c>
      <c r="F46">
        <v>8</v>
      </c>
      <c r="G46" s="7">
        <v>1</v>
      </c>
      <c r="H46" s="12" t="s">
        <v>17</v>
      </c>
      <c r="I46" s="1" t="s">
        <v>14</v>
      </c>
    </row>
    <row r="47" spans="1:9" x14ac:dyDescent="0.25">
      <c r="A47" s="7">
        <v>4</v>
      </c>
      <c r="B47" s="1" t="s">
        <v>149</v>
      </c>
      <c r="C47" s="9" t="s">
        <v>150</v>
      </c>
      <c r="D47" s="1" t="s">
        <v>151</v>
      </c>
      <c r="E47" s="12" t="s">
        <v>10</v>
      </c>
      <c r="F47">
        <v>8</v>
      </c>
      <c r="G47" s="7">
        <v>1</v>
      </c>
      <c r="H47" s="12" t="s">
        <v>17</v>
      </c>
      <c r="I47" s="1" t="s">
        <v>14</v>
      </c>
    </row>
    <row r="48" spans="1:9" x14ac:dyDescent="0.25">
      <c r="A48" s="7">
        <v>4</v>
      </c>
      <c r="B48" s="1" t="s">
        <v>152</v>
      </c>
      <c r="C48" s="9" t="s">
        <v>153</v>
      </c>
      <c r="D48" s="1" t="s">
        <v>154</v>
      </c>
      <c r="E48" s="12" t="s">
        <v>10</v>
      </c>
      <c r="F48">
        <v>8</v>
      </c>
      <c r="G48" s="7">
        <v>1</v>
      </c>
      <c r="H48" s="12" t="s">
        <v>17</v>
      </c>
      <c r="I48" s="1" t="s">
        <v>14</v>
      </c>
    </row>
    <row r="49" spans="1:9" x14ac:dyDescent="0.25">
      <c r="A49" s="7">
        <v>4</v>
      </c>
      <c r="B49" s="1" t="s">
        <v>155</v>
      </c>
      <c r="C49" s="9" t="s">
        <v>156</v>
      </c>
      <c r="D49" s="1" t="s">
        <v>157</v>
      </c>
      <c r="E49" s="12" t="s">
        <v>10</v>
      </c>
      <c r="F49">
        <v>8</v>
      </c>
      <c r="G49" s="7">
        <v>1</v>
      </c>
      <c r="H49" s="12" t="s">
        <v>17</v>
      </c>
      <c r="I49" s="1" t="s">
        <v>14</v>
      </c>
    </row>
    <row r="50" spans="1:9" x14ac:dyDescent="0.25">
      <c r="A50" s="7">
        <v>4</v>
      </c>
      <c r="B50" s="1" t="s">
        <v>158</v>
      </c>
      <c r="C50" s="9" t="s">
        <v>159</v>
      </c>
      <c r="D50" s="1" t="s">
        <v>160</v>
      </c>
      <c r="E50" s="12" t="s">
        <v>10</v>
      </c>
      <c r="F50">
        <v>8</v>
      </c>
      <c r="G50" s="7">
        <v>1</v>
      </c>
      <c r="H50" s="12" t="s">
        <v>17</v>
      </c>
      <c r="I50" s="1" t="s">
        <v>14</v>
      </c>
    </row>
    <row r="51" spans="1:9" x14ac:dyDescent="0.25">
      <c r="A51" s="7">
        <v>4</v>
      </c>
      <c r="B51" s="1" t="s">
        <v>161</v>
      </c>
      <c r="C51" s="9" t="s">
        <v>162</v>
      </c>
      <c r="D51" s="1" t="s">
        <v>163</v>
      </c>
      <c r="E51" s="12" t="s">
        <v>10</v>
      </c>
      <c r="F51">
        <v>8</v>
      </c>
      <c r="G51" s="7">
        <v>1</v>
      </c>
      <c r="H51" s="12" t="s">
        <v>17</v>
      </c>
      <c r="I51" s="1" t="s">
        <v>14</v>
      </c>
    </row>
    <row r="52" spans="1:9" x14ac:dyDescent="0.25">
      <c r="A52" s="7">
        <v>4</v>
      </c>
      <c r="B52" s="1" t="s">
        <v>164</v>
      </c>
      <c r="C52" s="9" t="s">
        <v>165</v>
      </c>
      <c r="D52" s="1" t="s">
        <v>166</v>
      </c>
      <c r="E52" s="12" t="s">
        <v>10</v>
      </c>
      <c r="F52">
        <v>8</v>
      </c>
      <c r="G52" s="7">
        <v>1</v>
      </c>
      <c r="H52" s="12" t="s">
        <v>17</v>
      </c>
      <c r="I52" s="1" t="s">
        <v>14</v>
      </c>
    </row>
    <row r="53" spans="1:9" x14ac:dyDescent="0.25">
      <c r="A53" s="7">
        <v>4</v>
      </c>
      <c r="B53" s="1" t="s">
        <v>167</v>
      </c>
      <c r="C53" s="9" t="s">
        <v>168</v>
      </c>
      <c r="D53" s="1" t="s">
        <v>169</v>
      </c>
      <c r="E53" s="12" t="s">
        <v>10</v>
      </c>
      <c r="F53">
        <v>8</v>
      </c>
      <c r="G53" s="7">
        <v>1</v>
      </c>
      <c r="H53" s="12" t="s">
        <v>17</v>
      </c>
      <c r="I53" s="1" t="s">
        <v>14</v>
      </c>
    </row>
    <row r="54" spans="1:9" x14ac:dyDescent="0.25">
      <c r="A54" s="7">
        <v>4</v>
      </c>
      <c r="B54" s="1" t="s">
        <v>170</v>
      </c>
      <c r="C54" s="9" t="s">
        <v>171</v>
      </c>
      <c r="D54" s="1" t="s">
        <v>172</v>
      </c>
      <c r="E54" s="12" t="s">
        <v>10</v>
      </c>
      <c r="F54">
        <v>8</v>
      </c>
      <c r="G54" s="7">
        <v>1</v>
      </c>
      <c r="H54" s="12" t="s">
        <v>17</v>
      </c>
      <c r="I54" s="1" t="s">
        <v>14</v>
      </c>
    </row>
    <row r="55" spans="1:9" x14ac:dyDescent="0.25">
      <c r="A55" s="7">
        <v>4</v>
      </c>
      <c r="B55" s="1" t="s">
        <v>173</v>
      </c>
      <c r="C55" s="9" t="s">
        <v>174</v>
      </c>
      <c r="D55" s="1" t="s">
        <v>175</v>
      </c>
      <c r="E55" s="12" t="s">
        <v>10</v>
      </c>
      <c r="F55">
        <v>8</v>
      </c>
      <c r="G55" s="7">
        <v>1</v>
      </c>
      <c r="H55" s="12" t="s">
        <v>17</v>
      </c>
      <c r="I55" s="1" t="s">
        <v>14</v>
      </c>
    </row>
    <row r="56" spans="1:9" x14ac:dyDescent="0.25">
      <c r="A56" s="7">
        <v>4</v>
      </c>
      <c r="B56" s="1" t="s">
        <v>176</v>
      </c>
      <c r="C56" s="9" t="s">
        <v>177</v>
      </c>
      <c r="D56" s="1" t="s">
        <v>178</v>
      </c>
      <c r="E56" s="12" t="s">
        <v>10</v>
      </c>
      <c r="F56">
        <v>8</v>
      </c>
      <c r="G56" s="7">
        <v>1</v>
      </c>
      <c r="H56" s="12" t="s">
        <v>17</v>
      </c>
      <c r="I56" s="1" t="s">
        <v>14</v>
      </c>
    </row>
    <row r="57" spans="1:9" x14ac:dyDescent="0.25">
      <c r="A57" s="7">
        <v>4</v>
      </c>
      <c r="B57" s="1" t="s">
        <v>179</v>
      </c>
      <c r="C57" s="9" t="s">
        <v>180</v>
      </c>
      <c r="D57" s="1" t="s">
        <v>181</v>
      </c>
      <c r="E57" s="12" t="s">
        <v>10</v>
      </c>
      <c r="F57">
        <v>8</v>
      </c>
      <c r="G57" s="7">
        <v>1</v>
      </c>
      <c r="H57" s="12" t="s">
        <v>17</v>
      </c>
      <c r="I57" s="1" t="s">
        <v>14</v>
      </c>
    </row>
    <row r="58" spans="1:9" x14ac:dyDescent="0.25">
      <c r="A58" s="7">
        <v>4</v>
      </c>
      <c r="B58" s="1" t="s">
        <v>4</v>
      </c>
      <c r="C58" s="9" t="s">
        <v>182</v>
      </c>
      <c r="D58" s="1" t="s">
        <v>183</v>
      </c>
      <c r="E58" s="12" t="s">
        <v>10</v>
      </c>
      <c r="F58">
        <v>8</v>
      </c>
      <c r="G58" s="7">
        <v>1</v>
      </c>
      <c r="H58" s="12" t="s">
        <v>17</v>
      </c>
      <c r="I58" s="1" t="s">
        <v>14</v>
      </c>
    </row>
    <row r="59" spans="1:9" x14ac:dyDescent="0.25">
      <c r="A59" s="7">
        <v>4</v>
      </c>
      <c r="B59" s="1" t="s">
        <v>184</v>
      </c>
      <c r="C59" s="9" t="s">
        <v>185</v>
      </c>
      <c r="D59" s="1" t="s">
        <v>186</v>
      </c>
      <c r="E59" s="12" t="s">
        <v>10</v>
      </c>
      <c r="F59">
        <v>8</v>
      </c>
      <c r="G59" s="7">
        <v>1</v>
      </c>
      <c r="H59" s="12" t="s">
        <v>17</v>
      </c>
      <c r="I59" s="1" t="s">
        <v>14</v>
      </c>
    </row>
    <row r="60" spans="1:9" x14ac:dyDescent="0.25">
      <c r="A60" s="7">
        <v>4</v>
      </c>
      <c r="B60" s="1" t="s">
        <v>187</v>
      </c>
      <c r="C60" s="9" t="s">
        <v>188</v>
      </c>
      <c r="D60" s="1" t="s">
        <v>189</v>
      </c>
      <c r="E60" s="12" t="s">
        <v>10</v>
      </c>
      <c r="F60">
        <v>8</v>
      </c>
      <c r="G60" s="7">
        <v>1</v>
      </c>
      <c r="H60" s="12" t="s">
        <v>17</v>
      </c>
      <c r="I60" s="1" t="s">
        <v>14</v>
      </c>
    </row>
    <row r="61" spans="1:9" x14ac:dyDescent="0.25">
      <c r="A61" s="7">
        <v>4</v>
      </c>
      <c r="B61" s="1" t="s">
        <v>190</v>
      </c>
      <c r="C61" s="9" t="s">
        <v>191</v>
      </c>
      <c r="D61" s="1" t="s">
        <v>192</v>
      </c>
      <c r="E61" s="12" t="s">
        <v>10</v>
      </c>
      <c r="F61">
        <v>8</v>
      </c>
      <c r="G61" s="7">
        <v>1</v>
      </c>
      <c r="H61" s="12" t="s">
        <v>17</v>
      </c>
      <c r="I61" s="1" t="s">
        <v>14</v>
      </c>
    </row>
    <row r="62" spans="1:9" x14ac:dyDescent="0.25">
      <c r="A62" s="7">
        <v>4</v>
      </c>
      <c r="B62" s="1" t="s">
        <v>193</v>
      </c>
      <c r="C62" s="9" t="s">
        <v>194</v>
      </c>
      <c r="D62" s="1" t="s">
        <v>195</v>
      </c>
      <c r="E62" s="12" t="s">
        <v>10</v>
      </c>
      <c r="F62">
        <v>8</v>
      </c>
      <c r="G62" s="7">
        <v>1</v>
      </c>
      <c r="H62" s="12" t="s">
        <v>17</v>
      </c>
      <c r="I62" s="1" t="s">
        <v>14</v>
      </c>
    </row>
    <row r="63" spans="1:9" x14ac:dyDescent="0.25">
      <c r="A63" s="7">
        <v>4</v>
      </c>
      <c r="B63" s="1" t="s">
        <v>196</v>
      </c>
      <c r="C63" s="9" t="s">
        <v>197</v>
      </c>
      <c r="D63" s="1" t="s">
        <v>198</v>
      </c>
      <c r="E63" s="12" t="s">
        <v>10</v>
      </c>
      <c r="F63">
        <v>8</v>
      </c>
      <c r="G63" s="7">
        <v>1</v>
      </c>
      <c r="H63" s="12" t="s">
        <v>17</v>
      </c>
      <c r="I63" s="1" t="s">
        <v>14</v>
      </c>
    </row>
    <row r="64" spans="1:9" x14ac:dyDescent="0.25">
      <c r="A64" s="7">
        <v>4</v>
      </c>
      <c r="B64" s="1" t="s">
        <v>199</v>
      </c>
      <c r="C64" s="9" t="s">
        <v>200</v>
      </c>
      <c r="D64" s="1" t="s">
        <v>201</v>
      </c>
      <c r="E64" s="12" t="s">
        <v>10</v>
      </c>
      <c r="F64">
        <v>8</v>
      </c>
      <c r="G64" s="7">
        <v>1</v>
      </c>
      <c r="H64" s="12" t="s">
        <v>17</v>
      </c>
      <c r="I64" s="1" t="s">
        <v>14</v>
      </c>
    </row>
    <row r="65" spans="1:9" x14ac:dyDescent="0.25">
      <c r="A65" s="7">
        <v>4</v>
      </c>
      <c r="B65" s="1" t="s">
        <v>202</v>
      </c>
      <c r="C65" s="9" t="s">
        <v>203</v>
      </c>
      <c r="D65" s="1" t="s">
        <v>204</v>
      </c>
      <c r="E65" s="12" t="s">
        <v>10</v>
      </c>
      <c r="F65">
        <v>8</v>
      </c>
      <c r="G65" s="7">
        <v>1</v>
      </c>
      <c r="H65" s="12" t="s">
        <v>17</v>
      </c>
      <c r="I65" s="1" t="s">
        <v>14</v>
      </c>
    </row>
    <row r="66" spans="1:9" x14ac:dyDescent="0.25">
      <c r="A66" s="7">
        <v>4</v>
      </c>
      <c r="B66" s="1" t="s">
        <v>205</v>
      </c>
      <c r="C66" s="9" t="s">
        <v>206</v>
      </c>
      <c r="D66" s="1" t="s">
        <v>207</v>
      </c>
      <c r="E66" s="12" t="s">
        <v>10</v>
      </c>
      <c r="F66">
        <v>8</v>
      </c>
      <c r="G66" s="7">
        <v>1</v>
      </c>
      <c r="H66" s="12" t="s">
        <v>17</v>
      </c>
      <c r="I66" s="1" t="s">
        <v>14</v>
      </c>
    </row>
    <row r="67" spans="1:9" x14ac:dyDescent="0.25">
      <c r="A67" s="7">
        <v>4</v>
      </c>
      <c r="B67" s="1" t="s">
        <v>208</v>
      </c>
      <c r="C67" s="9" t="s">
        <v>209</v>
      </c>
      <c r="D67" s="1" t="s">
        <v>210</v>
      </c>
      <c r="E67" s="12" t="s">
        <v>10</v>
      </c>
      <c r="F67">
        <v>8</v>
      </c>
      <c r="G67" s="7">
        <v>1</v>
      </c>
      <c r="H67" s="12" t="s">
        <v>17</v>
      </c>
      <c r="I67" s="1" t="s">
        <v>14</v>
      </c>
    </row>
    <row r="68" spans="1:9" x14ac:dyDescent="0.25">
      <c r="A68" s="7">
        <v>4</v>
      </c>
      <c r="B68" s="1" t="s">
        <v>211</v>
      </c>
      <c r="C68" s="9" t="s">
        <v>212</v>
      </c>
      <c r="D68" s="1" t="s">
        <v>213</v>
      </c>
      <c r="E68" s="12" t="s">
        <v>10</v>
      </c>
      <c r="F68">
        <v>8</v>
      </c>
      <c r="G68" s="7">
        <v>1</v>
      </c>
      <c r="H68" s="12" t="s">
        <v>17</v>
      </c>
      <c r="I68" s="1" t="s">
        <v>14</v>
      </c>
    </row>
    <row r="69" spans="1:9" x14ac:dyDescent="0.25">
      <c r="A69" s="7">
        <v>4</v>
      </c>
      <c r="B69" s="1" t="s">
        <v>214</v>
      </c>
      <c r="C69" s="9" t="s">
        <v>215</v>
      </c>
      <c r="D69" s="1" t="s">
        <v>216</v>
      </c>
      <c r="E69" s="12" t="s">
        <v>10</v>
      </c>
      <c r="F69">
        <v>8</v>
      </c>
      <c r="G69" s="7">
        <v>1</v>
      </c>
      <c r="H69" s="12" t="s">
        <v>17</v>
      </c>
      <c r="I69" s="1" t="s">
        <v>14</v>
      </c>
    </row>
    <row r="70" spans="1:9" x14ac:dyDescent="0.25">
      <c r="A70" s="7">
        <v>4</v>
      </c>
      <c r="B70" s="1" t="s">
        <v>217</v>
      </c>
      <c r="C70" s="9" t="s">
        <v>218</v>
      </c>
      <c r="D70" s="1" t="s">
        <v>219</v>
      </c>
      <c r="E70" s="12" t="s">
        <v>10</v>
      </c>
      <c r="F70">
        <v>8</v>
      </c>
      <c r="G70" s="7">
        <v>1</v>
      </c>
      <c r="H70" s="12" t="s">
        <v>17</v>
      </c>
      <c r="I70" s="1" t="s">
        <v>14</v>
      </c>
    </row>
    <row r="71" spans="1:9" x14ac:dyDescent="0.25">
      <c r="A71" s="7">
        <v>4</v>
      </c>
      <c r="B71" s="1" t="s">
        <v>220</v>
      </c>
      <c r="C71" s="9" t="s">
        <v>221</v>
      </c>
      <c r="D71" s="1" t="s">
        <v>222</v>
      </c>
      <c r="E71" s="12" t="s">
        <v>10</v>
      </c>
      <c r="F71">
        <v>8</v>
      </c>
      <c r="G71" s="7">
        <v>1</v>
      </c>
      <c r="H71" s="12" t="s">
        <v>17</v>
      </c>
      <c r="I71" s="1" t="s">
        <v>14</v>
      </c>
    </row>
    <row r="72" spans="1:9" x14ac:dyDescent="0.25">
      <c r="A72" s="7">
        <v>4</v>
      </c>
      <c r="B72" s="1" t="s">
        <v>223</v>
      </c>
      <c r="C72" s="9" t="s">
        <v>224</v>
      </c>
      <c r="D72" s="1" t="s">
        <v>225</v>
      </c>
      <c r="E72" s="12" t="s">
        <v>10</v>
      </c>
      <c r="F72">
        <v>8</v>
      </c>
      <c r="G72" s="7">
        <v>1</v>
      </c>
      <c r="H72" s="12" t="s">
        <v>17</v>
      </c>
      <c r="I72" s="1" t="s">
        <v>14</v>
      </c>
    </row>
    <row r="73" spans="1:9" x14ac:dyDescent="0.25">
      <c r="A73" s="7">
        <v>4</v>
      </c>
      <c r="B73" s="1" t="s">
        <v>226</v>
      </c>
      <c r="C73" s="9" t="s">
        <v>227</v>
      </c>
      <c r="D73" s="1" t="s">
        <v>228</v>
      </c>
      <c r="E73" s="12" t="s">
        <v>10</v>
      </c>
      <c r="F73">
        <v>8</v>
      </c>
      <c r="G73" s="7">
        <v>1</v>
      </c>
      <c r="H73" s="12" t="s">
        <v>17</v>
      </c>
      <c r="I73" s="1" t="s">
        <v>14</v>
      </c>
    </row>
    <row r="74" spans="1:9" x14ac:dyDescent="0.25">
      <c r="A74" s="7">
        <v>4</v>
      </c>
      <c r="B74" s="1" t="s">
        <v>229</v>
      </c>
      <c r="C74" s="11" t="s">
        <v>307</v>
      </c>
      <c r="D74" s="1" t="s">
        <v>230</v>
      </c>
      <c r="E74" s="12" t="s">
        <v>10</v>
      </c>
      <c r="F74">
        <v>8</v>
      </c>
      <c r="G74" s="7">
        <v>1</v>
      </c>
      <c r="H74" s="12" t="s">
        <v>17</v>
      </c>
      <c r="I74" s="1" t="s">
        <v>14</v>
      </c>
    </row>
    <row r="75" spans="1:9" x14ac:dyDescent="0.25">
      <c r="A75" s="7">
        <v>4</v>
      </c>
      <c r="B75" s="1" t="s">
        <v>231</v>
      </c>
      <c r="C75" s="9" t="s">
        <v>232</v>
      </c>
      <c r="D75" s="1" t="s">
        <v>233</v>
      </c>
      <c r="E75" s="12" t="s">
        <v>10</v>
      </c>
      <c r="F75">
        <v>8</v>
      </c>
      <c r="G75" s="7">
        <v>1</v>
      </c>
      <c r="H75" s="12" t="s">
        <v>17</v>
      </c>
      <c r="I75" s="1" t="s">
        <v>14</v>
      </c>
    </row>
    <row r="76" spans="1:9" x14ac:dyDescent="0.25">
      <c r="A76" s="7">
        <v>4</v>
      </c>
      <c r="B76" s="1" t="s">
        <v>234</v>
      </c>
      <c r="C76" s="9" t="s">
        <v>235</v>
      </c>
      <c r="D76" s="1" t="s">
        <v>236</v>
      </c>
      <c r="E76" s="12" t="s">
        <v>10</v>
      </c>
      <c r="F76">
        <v>11</v>
      </c>
      <c r="G76" s="7">
        <v>1</v>
      </c>
      <c r="H76" s="12" t="s">
        <v>17</v>
      </c>
      <c r="I76" s="1" t="s">
        <v>319</v>
      </c>
    </row>
    <row r="77" spans="1:9" x14ac:dyDescent="0.25">
      <c r="A77" s="7">
        <v>4</v>
      </c>
      <c r="B77" s="1" t="s">
        <v>237</v>
      </c>
      <c r="C77" s="9" t="s">
        <v>238</v>
      </c>
      <c r="D77" s="1" t="s">
        <v>239</v>
      </c>
      <c r="E77" s="12" t="s">
        <v>10</v>
      </c>
      <c r="F77">
        <v>11</v>
      </c>
      <c r="G77" s="7">
        <v>1</v>
      </c>
      <c r="H77" s="12" t="s">
        <v>17</v>
      </c>
      <c r="I77" s="1" t="s">
        <v>319</v>
      </c>
    </row>
    <row r="78" spans="1:9" x14ac:dyDescent="0.25">
      <c r="A78" s="7">
        <v>4</v>
      </c>
      <c r="B78" s="1" t="s">
        <v>240</v>
      </c>
      <c r="C78" s="9" t="s">
        <v>241</v>
      </c>
      <c r="D78" s="1" t="s">
        <v>242</v>
      </c>
      <c r="E78" s="12" t="s">
        <v>10</v>
      </c>
      <c r="F78">
        <v>11</v>
      </c>
      <c r="G78" s="7">
        <v>1</v>
      </c>
      <c r="H78" s="12" t="s">
        <v>17</v>
      </c>
      <c r="I78" s="1" t="s">
        <v>319</v>
      </c>
    </row>
    <row r="79" spans="1:9" x14ac:dyDescent="0.25">
      <c r="A79" s="7">
        <v>4</v>
      </c>
      <c r="B79" s="1" t="s">
        <v>243</v>
      </c>
      <c r="C79" s="9" t="s">
        <v>244</v>
      </c>
      <c r="D79" s="1" t="s">
        <v>245</v>
      </c>
      <c r="E79" s="12" t="s">
        <v>10</v>
      </c>
      <c r="F79">
        <v>11</v>
      </c>
      <c r="G79" s="7">
        <v>1</v>
      </c>
      <c r="H79" s="12" t="s">
        <v>17</v>
      </c>
      <c r="I79" s="1" t="s">
        <v>319</v>
      </c>
    </row>
    <row r="80" spans="1:9" x14ac:dyDescent="0.25">
      <c r="A80" s="7">
        <v>4</v>
      </c>
      <c r="B80" s="1" t="s">
        <v>246</v>
      </c>
      <c r="C80" s="9" t="s">
        <v>247</v>
      </c>
      <c r="D80" s="1" t="s">
        <v>248</v>
      </c>
      <c r="E80" s="12" t="s">
        <v>10</v>
      </c>
      <c r="F80">
        <v>11</v>
      </c>
      <c r="G80" s="7">
        <v>1</v>
      </c>
      <c r="H80" s="12" t="s">
        <v>17</v>
      </c>
      <c r="I80" s="1" t="s">
        <v>319</v>
      </c>
    </row>
    <row r="81" spans="1:9" x14ac:dyDescent="0.25">
      <c r="A81" s="7">
        <v>4</v>
      </c>
      <c r="B81" s="1" t="s">
        <v>249</v>
      </c>
      <c r="C81" s="9" t="s">
        <v>250</v>
      </c>
      <c r="D81" s="1" t="s">
        <v>251</v>
      </c>
      <c r="E81" s="12" t="s">
        <v>10</v>
      </c>
      <c r="F81">
        <v>11</v>
      </c>
      <c r="G81" s="7">
        <v>1</v>
      </c>
      <c r="H81" s="12" t="s">
        <v>17</v>
      </c>
      <c r="I81" s="1" t="s">
        <v>319</v>
      </c>
    </row>
    <row r="82" spans="1:9" x14ac:dyDescent="0.25">
      <c r="A82" s="7">
        <v>4</v>
      </c>
      <c r="B82" s="1" t="s">
        <v>252</v>
      </c>
      <c r="C82" s="9" t="s">
        <v>253</v>
      </c>
      <c r="D82" s="1" t="s">
        <v>254</v>
      </c>
      <c r="E82" s="12" t="s">
        <v>10</v>
      </c>
      <c r="F82">
        <v>11</v>
      </c>
      <c r="G82" s="7">
        <v>1</v>
      </c>
      <c r="H82" s="12" t="s">
        <v>17</v>
      </c>
      <c r="I82" s="1" t="s">
        <v>319</v>
      </c>
    </row>
    <row r="83" spans="1:9" x14ac:dyDescent="0.25">
      <c r="A83" s="7">
        <v>4</v>
      </c>
      <c r="B83" s="1" t="s">
        <v>255</v>
      </c>
      <c r="C83" s="9" t="s">
        <v>256</v>
      </c>
      <c r="D83" s="1" t="s">
        <v>257</v>
      </c>
      <c r="E83" s="12" t="s">
        <v>10</v>
      </c>
      <c r="F83">
        <v>11</v>
      </c>
      <c r="G83" s="7">
        <v>1</v>
      </c>
      <c r="H83" s="12" t="s">
        <v>17</v>
      </c>
      <c r="I83" s="1" t="s">
        <v>319</v>
      </c>
    </row>
    <row r="84" spans="1:9" x14ac:dyDescent="0.25">
      <c r="A84" s="7">
        <v>4</v>
      </c>
      <c r="B84" s="1" t="s">
        <v>258</v>
      </c>
      <c r="C84" s="9" t="s">
        <v>259</v>
      </c>
      <c r="D84" s="1" t="s">
        <v>260</v>
      </c>
      <c r="E84" s="12" t="s">
        <v>10</v>
      </c>
      <c r="F84">
        <v>11</v>
      </c>
      <c r="G84" s="7">
        <v>1</v>
      </c>
      <c r="H84" s="12" t="s">
        <v>17</v>
      </c>
      <c r="I84" s="1" t="s">
        <v>319</v>
      </c>
    </row>
    <row r="85" spans="1:9" x14ac:dyDescent="0.25">
      <c r="A85" s="7">
        <v>4</v>
      </c>
      <c r="B85" s="1" t="s">
        <v>261</v>
      </c>
      <c r="C85" s="9" t="s">
        <v>262</v>
      </c>
      <c r="D85" s="1" t="s">
        <v>263</v>
      </c>
      <c r="E85" s="12" t="s">
        <v>10</v>
      </c>
      <c r="F85">
        <v>11</v>
      </c>
      <c r="G85" s="7">
        <v>1</v>
      </c>
      <c r="H85" s="12" t="s">
        <v>17</v>
      </c>
      <c r="I85" s="1" t="s">
        <v>319</v>
      </c>
    </row>
    <row r="86" spans="1:9" x14ac:dyDescent="0.25">
      <c r="A86" s="7">
        <v>4</v>
      </c>
      <c r="B86" s="1" t="s">
        <v>264</v>
      </c>
      <c r="C86" s="9" t="s">
        <v>265</v>
      </c>
      <c r="D86" s="1" t="s">
        <v>266</v>
      </c>
      <c r="E86" s="12" t="s">
        <v>10</v>
      </c>
      <c r="F86">
        <v>11</v>
      </c>
      <c r="G86" s="7">
        <v>1</v>
      </c>
      <c r="H86" s="12" t="s">
        <v>17</v>
      </c>
      <c r="I86" s="1" t="s">
        <v>319</v>
      </c>
    </row>
    <row r="87" spans="1:9" x14ac:dyDescent="0.25">
      <c r="A87" s="7">
        <v>4</v>
      </c>
      <c r="B87" s="1" t="s">
        <v>267</v>
      </c>
      <c r="C87" s="9" t="s">
        <v>268</v>
      </c>
      <c r="D87" s="1" t="s">
        <v>269</v>
      </c>
      <c r="E87" s="12" t="s">
        <v>10</v>
      </c>
      <c r="F87">
        <v>11</v>
      </c>
      <c r="G87" s="7">
        <v>1</v>
      </c>
      <c r="H87" s="12" t="s">
        <v>17</v>
      </c>
      <c r="I87" s="1" t="s">
        <v>319</v>
      </c>
    </row>
    <row r="88" spans="1:9" x14ac:dyDescent="0.25">
      <c r="A88" s="7">
        <v>4</v>
      </c>
      <c r="B88" s="1" t="s">
        <v>270</v>
      </c>
      <c r="C88" s="9" t="s">
        <v>271</v>
      </c>
      <c r="D88" s="1" t="s">
        <v>272</v>
      </c>
      <c r="E88" s="12" t="s">
        <v>10</v>
      </c>
      <c r="F88">
        <v>11</v>
      </c>
      <c r="G88" s="7">
        <v>1</v>
      </c>
      <c r="H88" s="12" t="s">
        <v>17</v>
      </c>
      <c r="I88" s="1" t="s">
        <v>319</v>
      </c>
    </row>
    <row r="89" spans="1:9" x14ac:dyDescent="0.25">
      <c r="A89" s="7">
        <v>4</v>
      </c>
      <c r="B89" s="1" t="s">
        <v>273</v>
      </c>
      <c r="C89" s="9" t="s">
        <v>274</v>
      </c>
      <c r="D89" s="1" t="s">
        <v>275</v>
      </c>
      <c r="E89" s="12" t="s">
        <v>10</v>
      </c>
      <c r="F89">
        <v>11</v>
      </c>
      <c r="G89" s="7">
        <v>1</v>
      </c>
      <c r="H89" s="12" t="s">
        <v>17</v>
      </c>
      <c r="I89" s="1" t="s">
        <v>319</v>
      </c>
    </row>
    <row r="90" spans="1:9" x14ac:dyDescent="0.25">
      <c r="A90" s="7">
        <v>4</v>
      </c>
      <c r="B90" s="1" t="s">
        <v>276</v>
      </c>
      <c r="C90" s="11" t="s">
        <v>308</v>
      </c>
      <c r="D90" s="1" t="s">
        <v>277</v>
      </c>
      <c r="E90" s="12" t="s">
        <v>10</v>
      </c>
      <c r="F90">
        <v>11</v>
      </c>
      <c r="G90" s="7">
        <v>1</v>
      </c>
      <c r="H90" s="12" t="s">
        <v>17</v>
      </c>
      <c r="I90" s="1" t="s">
        <v>319</v>
      </c>
    </row>
    <row r="91" spans="1:9" x14ac:dyDescent="0.25">
      <c r="A91" s="7">
        <v>4</v>
      </c>
      <c r="B91" s="1" t="s">
        <v>278</v>
      </c>
      <c r="C91" s="9" t="s">
        <v>279</v>
      </c>
      <c r="D91" s="1" t="s">
        <v>280</v>
      </c>
      <c r="E91" s="12" t="s">
        <v>10</v>
      </c>
      <c r="F91">
        <v>11</v>
      </c>
      <c r="G91" s="7">
        <v>1</v>
      </c>
      <c r="H91" s="12" t="s">
        <v>17</v>
      </c>
      <c r="I91" s="1" t="s">
        <v>319</v>
      </c>
    </row>
    <row r="92" spans="1:9" x14ac:dyDescent="0.25">
      <c r="A92" s="7">
        <v>4</v>
      </c>
      <c r="B92" s="1" t="s">
        <v>281</v>
      </c>
      <c r="C92" s="9" t="s">
        <v>282</v>
      </c>
      <c r="D92" s="1" t="s">
        <v>283</v>
      </c>
      <c r="E92" s="12" t="s">
        <v>10</v>
      </c>
      <c r="F92">
        <v>11</v>
      </c>
      <c r="G92" s="7">
        <v>1</v>
      </c>
      <c r="H92" s="12" t="s">
        <v>17</v>
      </c>
      <c r="I92" s="1" t="s">
        <v>319</v>
      </c>
    </row>
    <row r="93" spans="1:9" x14ac:dyDescent="0.25">
      <c r="A93" s="7">
        <v>4</v>
      </c>
      <c r="B93" s="1" t="s">
        <v>284</v>
      </c>
      <c r="C93" s="9" t="s">
        <v>285</v>
      </c>
      <c r="D93" s="1" t="s">
        <v>286</v>
      </c>
      <c r="E93" s="12" t="s">
        <v>10</v>
      </c>
      <c r="F93">
        <v>11</v>
      </c>
      <c r="G93" s="7">
        <v>1</v>
      </c>
      <c r="H93" s="12" t="s">
        <v>17</v>
      </c>
      <c r="I93" s="1" t="s">
        <v>319</v>
      </c>
    </row>
    <row r="94" spans="1:9" x14ac:dyDescent="0.25">
      <c r="A94" s="7">
        <v>4</v>
      </c>
      <c r="B94" s="1" t="s">
        <v>287</v>
      </c>
      <c r="C94" s="9" t="s">
        <v>288</v>
      </c>
      <c r="D94" s="1" t="s">
        <v>289</v>
      </c>
      <c r="E94" s="12" t="s">
        <v>10</v>
      </c>
      <c r="F94">
        <v>11</v>
      </c>
      <c r="G94" s="7">
        <v>1</v>
      </c>
      <c r="H94" s="12" t="s">
        <v>17</v>
      </c>
      <c r="I94" s="1" t="s">
        <v>319</v>
      </c>
    </row>
    <row r="95" spans="1:9" x14ac:dyDescent="0.25">
      <c r="A95" s="7">
        <v>4</v>
      </c>
      <c r="B95" s="1" t="s">
        <v>290</v>
      </c>
      <c r="C95" s="9" t="s">
        <v>291</v>
      </c>
      <c r="D95" s="1" t="s">
        <v>292</v>
      </c>
      <c r="E95" s="12" t="s">
        <v>10</v>
      </c>
      <c r="F95">
        <v>11</v>
      </c>
      <c r="G95" s="7">
        <v>1</v>
      </c>
      <c r="H95" s="12" t="s">
        <v>17</v>
      </c>
      <c r="I95" s="1" t="s">
        <v>319</v>
      </c>
    </row>
    <row r="96" spans="1:9" x14ac:dyDescent="0.25">
      <c r="A96" s="7">
        <v>4</v>
      </c>
      <c r="B96" s="1" t="s">
        <v>293</v>
      </c>
      <c r="C96" s="9" t="s">
        <v>294</v>
      </c>
      <c r="D96" s="1" t="s">
        <v>295</v>
      </c>
      <c r="E96" s="12" t="s">
        <v>10</v>
      </c>
      <c r="F96">
        <v>11</v>
      </c>
      <c r="G96" s="7">
        <v>1</v>
      </c>
      <c r="H96" s="12" t="s">
        <v>17</v>
      </c>
      <c r="I96" s="1" t="s">
        <v>319</v>
      </c>
    </row>
    <row r="97" spans="1:9" x14ac:dyDescent="0.25">
      <c r="A97" s="7">
        <v>4</v>
      </c>
      <c r="B97" s="1" t="s">
        <v>296</v>
      </c>
      <c r="C97" s="9" t="s">
        <v>297</v>
      </c>
      <c r="D97" s="1" t="s">
        <v>298</v>
      </c>
      <c r="E97" s="12" t="s">
        <v>10</v>
      </c>
      <c r="F97">
        <v>11</v>
      </c>
      <c r="G97" s="7">
        <v>1</v>
      </c>
      <c r="H97" s="12" t="s">
        <v>17</v>
      </c>
      <c r="I97" s="1" t="s">
        <v>319</v>
      </c>
    </row>
    <row r="98" spans="1:9" x14ac:dyDescent="0.25">
      <c r="A98" s="7">
        <v>4</v>
      </c>
      <c r="B98" s="1" t="s">
        <v>299</v>
      </c>
      <c r="C98" s="9" t="s">
        <v>300</v>
      </c>
      <c r="D98" s="1" t="s">
        <v>301</v>
      </c>
      <c r="E98" s="12" t="s">
        <v>10</v>
      </c>
      <c r="F98">
        <v>11</v>
      </c>
      <c r="G98" s="7">
        <v>1</v>
      </c>
      <c r="H98" s="12" t="s">
        <v>17</v>
      </c>
      <c r="I98" s="1" t="s">
        <v>319</v>
      </c>
    </row>
    <row r="99" spans="1:9" x14ac:dyDescent="0.25">
      <c r="A99" s="7">
        <v>4</v>
      </c>
      <c r="B99" s="1" t="s">
        <v>302</v>
      </c>
      <c r="C99" s="9" t="s">
        <v>303</v>
      </c>
      <c r="D99" s="1" t="s">
        <v>304</v>
      </c>
      <c r="E99" s="12" t="s">
        <v>10</v>
      </c>
      <c r="F99">
        <v>11</v>
      </c>
      <c r="G99" s="7">
        <v>1</v>
      </c>
      <c r="H99" s="12" t="s">
        <v>17</v>
      </c>
      <c r="I99" s="1" t="s">
        <v>319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14"/>
  <sheetViews>
    <sheetView tabSelected="1" workbookViewId="0">
      <selection activeCell="M9" sqref="M9"/>
    </sheetView>
  </sheetViews>
  <sheetFormatPr defaultRowHeight="15" x14ac:dyDescent="0.25"/>
  <cols>
    <col min="1" max="1" width="19.5703125" style="20" customWidth="1"/>
    <col min="2" max="2" width="14.5703125" style="20" customWidth="1"/>
    <col min="3" max="3" width="9.140625" style="19"/>
    <col min="4" max="6" width="10.140625" style="20" customWidth="1"/>
    <col min="7" max="16384" width="9.140625" style="19"/>
  </cols>
  <sheetData>
    <row r="1" spans="1:9" s="14" customFormat="1" ht="19.5" x14ac:dyDescent="0.25">
      <c r="A1" s="13" t="s">
        <v>309</v>
      </c>
      <c r="B1" s="13" t="s">
        <v>310</v>
      </c>
      <c r="D1" s="20"/>
      <c r="E1" s="20"/>
      <c r="F1" s="20"/>
    </row>
    <row r="2" spans="1:9" s="16" customFormat="1" ht="19.5" x14ac:dyDescent="0.3">
      <c r="A2" s="15" t="s">
        <v>311</v>
      </c>
      <c r="B2" s="15">
        <v>18</v>
      </c>
      <c r="D2" s="21"/>
      <c r="E2" s="21"/>
      <c r="F2" s="21"/>
      <c r="I2" s="16" t="s">
        <v>317</v>
      </c>
    </row>
    <row r="3" spans="1:9" s="16" customFormat="1" ht="19.5" x14ac:dyDescent="0.3">
      <c r="A3" s="15" t="s">
        <v>312</v>
      </c>
      <c r="B3" s="15">
        <v>18</v>
      </c>
      <c r="D3" s="21"/>
      <c r="E3" s="21"/>
      <c r="F3" s="21"/>
    </row>
    <row r="4" spans="1:9" s="16" customFormat="1" ht="19.5" x14ac:dyDescent="0.3">
      <c r="A4" s="15" t="s">
        <v>313</v>
      </c>
      <c r="B4" s="15">
        <v>40</v>
      </c>
      <c r="D4" s="21"/>
      <c r="E4" s="21">
        <f>100-B6</f>
        <v>0</v>
      </c>
      <c r="F4" s="21"/>
    </row>
    <row r="5" spans="1:9" s="16" customFormat="1" ht="19.5" x14ac:dyDescent="0.3">
      <c r="A5" s="15" t="s">
        <v>314</v>
      </c>
      <c r="B5" s="15">
        <v>24</v>
      </c>
      <c r="D5" s="21"/>
      <c r="E5" s="21"/>
      <c r="F5" s="21"/>
    </row>
    <row r="6" spans="1:9" ht="19.5" x14ac:dyDescent="0.3">
      <c r="A6" s="17" t="s">
        <v>315</v>
      </c>
      <c r="B6" s="18">
        <f>SUM(B2:B5)</f>
        <v>100</v>
      </c>
      <c r="I6" s="19" t="s">
        <v>316</v>
      </c>
    </row>
    <row r="12" spans="1:9" x14ac:dyDescent="0.25">
      <c r="D12" s="20">
        <v>236</v>
      </c>
      <c r="E12" s="20">
        <v>20.2</v>
      </c>
      <c r="F12" s="20">
        <v>6524</v>
      </c>
    </row>
    <row r="13" spans="1:9" x14ac:dyDescent="0.25">
      <c r="D13" s="20">
        <f>D12/2</f>
        <v>118</v>
      </c>
      <c r="E13" s="20">
        <f t="shared" ref="E13:F13" si="0">E12/2</f>
        <v>10.1</v>
      </c>
      <c r="F13" s="20">
        <v>4997.5</v>
      </c>
      <c r="G13" s="19">
        <v>235</v>
      </c>
    </row>
    <row r="14" spans="1:9" x14ac:dyDescent="0.25">
      <c r="G14" s="19">
        <f>F13*G13</f>
        <v>1174412.5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"/>
  <sheetViews>
    <sheetView workbookViewId="0">
      <selection activeCell="B6" sqref="B6"/>
    </sheetView>
  </sheetViews>
  <sheetFormatPr defaultRowHeight="15" x14ac:dyDescent="0.25"/>
  <cols>
    <col min="1" max="1" width="9.140625" style="7"/>
    <col min="2" max="2" width="12.5703125" customWidth="1"/>
  </cols>
  <sheetData>
    <row r="1" spans="1:2" x14ac:dyDescent="0.25">
      <c r="A1" s="7" t="s">
        <v>12</v>
      </c>
      <c r="B1" t="s">
        <v>13</v>
      </c>
    </row>
    <row r="2" spans="1:2" x14ac:dyDescent="0.25">
      <c r="A2" s="7">
        <v>8</v>
      </c>
      <c r="B2" t="s">
        <v>14</v>
      </c>
    </row>
    <row r="3" spans="1:2" x14ac:dyDescent="0.25">
      <c r="A3" s="7">
        <v>4</v>
      </c>
      <c r="B3" t="s">
        <v>11</v>
      </c>
    </row>
    <row r="4" spans="1:2" x14ac:dyDescent="0.25">
      <c r="A4" s="7">
        <v>11</v>
      </c>
      <c r="B4" t="s">
        <v>15</v>
      </c>
    </row>
    <row r="5" spans="1:2" x14ac:dyDescent="0.25">
      <c r="A5" s="7">
        <v>12</v>
      </c>
      <c r="B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Distribution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2021-07-08T11:31:18Z</dcterms:modified>
</cp:coreProperties>
</file>