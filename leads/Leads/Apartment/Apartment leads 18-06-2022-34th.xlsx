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:\Docs\Leads\Apartment\"/>
    </mc:Choice>
  </mc:AlternateContent>
  <xr:revisionPtr revIDLastSave="0" documentId="13_ncr:1_{76540402-3E7C-4CAE-B7D6-44D8034A0C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ds" sheetId="1" r:id="rId1"/>
    <sheet name="Distribu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3" l="1"/>
  <c r="I6" i="3" l="1"/>
  <c r="E8" i="3" l="1"/>
  <c r="H6" i="3" s="1"/>
</calcChain>
</file>

<file path=xl/sharedStrings.xml><?xml version="1.0" encoding="utf-8"?>
<sst xmlns="http://schemas.openxmlformats.org/spreadsheetml/2006/main" count="501" uniqueCount="308">
  <si>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</si>
  <si>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</si>
  <si>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</si>
  <si>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</si>
  <si>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</si>
  <si>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</si>
  <si>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</si>
  <si>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</si>
  <si>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</si>
  <si>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</si>
  <si>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</si>
  <si>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Habibur Rahman</t>
  </si>
  <si>
    <t>Officer Name</t>
  </si>
  <si>
    <t>Zabedur Rahman</t>
  </si>
  <si>
    <t>Jahedul Alam</t>
  </si>
  <si>
    <t>MA Sagar</t>
  </si>
  <si>
    <t xml:space="preserve">Zabedur </t>
  </si>
  <si>
    <t>Sagar</t>
  </si>
  <si>
    <t>ID</t>
  </si>
  <si>
    <t>Shaheed Islam</t>
  </si>
  <si>
    <t>shaheedulislam33@gmail.com</t>
  </si>
  <si>
    <t>+88001828123434</t>
  </si>
  <si>
    <t>Kashem Rahman</t>
  </si>
  <si>
    <t>rahmankashem23@gmail.com</t>
  </si>
  <si>
    <t>+8801626630337</t>
  </si>
  <si>
    <t>Apatment</t>
  </si>
  <si>
    <t>Nazmul Hossain</t>
  </si>
  <si>
    <t>nazmul.hossain1@wipro.com</t>
  </si>
  <si>
    <t>+8801711506342</t>
  </si>
  <si>
    <t>Md Mokbul Hossain</t>
  </si>
  <si>
    <t>jahidhsn119934@gmail.com</t>
  </si>
  <si>
    <t>+8801726855380</t>
  </si>
  <si>
    <t>Abdul Kasam</t>
  </si>
  <si>
    <t>kasam0776@gmail.com</t>
  </si>
  <si>
    <t>+8801752546503</t>
  </si>
  <si>
    <t>Russel Bin Shahid</t>
  </si>
  <si>
    <t>asmrbstcl@gmail.com</t>
  </si>
  <si>
    <t>+8801713048698</t>
  </si>
  <si>
    <t>Hasan Imam</t>
  </si>
  <si>
    <t>hasanimam4947@gmail.com</t>
  </si>
  <si>
    <t>+8801712065234</t>
  </si>
  <si>
    <t>রাসিদুল ইসলাম</t>
  </si>
  <si>
    <t>mdmethumiya37@gmail.com</t>
  </si>
  <si>
    <t>+8801742709225</t>
  </si>
  <si>
    <t>সাহেদ আহমদ চৌধুরী</t>
  </si>
  <si>
    <t>shahedahmedc44@gmail.com</t>
  </si>
  <si>
    <t>Uttam Kumer Sadhu</t>
  </si>
  <si>
    <t>uttomkumersadhu@gmail.com</t>
  </si>
  <si>
    <t>+8801322572229</t>
  </si>
  <si>
    <t>Anisur Rahman Hormuz</t>
  </si>
  <si>
    <t>anisur0967@gmail.com</t>
  </si>
  <si>
    <t>+8801718822579</t>
  </si>
  <si>
    <t>Khademul Islam</t>
  </si>
  <si>
    <t>khademul233@gmail.com</t>
  </si>
  <si>
    <t>+8801735218456</t>
  </si>
  <si>
    <t>L Islam</t>
  </si>
  <si>
    <t>limbam@gmail.com</t>
  </si>
  <si>
    <t>+8801622723859</t>
  </si>
  <si>
    <t>Rayhan Kabir</t>
  </si>
  <si>
    <t>kabirrayhan11@gmail.com</t>
  </si>
  <si>
    <t>+8801716065906</t>
  </si>
  <si>
    <t>Sudipta Chakma</t>
  </si>
  <si>
    <t>sudiptachakma36@gmail.com</t>
  </si>
  <si>
    <t>+8801554008485</t>
  </si>
  <si>
    <t>Md Zohurul Islam</t>
  </si>
  <si>
    <t>zahurulislam071@gmail.com</t>
  </si>
  <si>
    <t>+8801722353367</t>
  </si>
  <si>
    <t>Md Mahbub</t>
  </si>
  <si>
    <t>mahbub1168ctg@gmail.com</t>
  </si>
  <si>
    <t>+8801948546620</t>
  </si>
  <si>
    <t>mazba uddin</t>
  </si>
  <si>
    <t>mazba@lankabangla.com</t>
  </si>
  <si>
    <t>+8801833333067</t>
  </si>
  <si>
    <t>Samsul Alam</t>
  </si>
  <si>
    <t>shamsul.alam.jhd@gmail.com</t>
  </si>
  <si>
    <t>+8801788687903</t>
  </si>
  <si>
    <t>Anay Mollik</t>
  </si>
  <si>
    <t>aneymollik.rs@gmail.com</t>
  </si>
  <si>
    <t>+8801721507983</t>
  </si>
  <si>
    <t>Khairul Hassan</t>
  </si>
  <si>
    <t>md.khairulhasan399@yahoo.com</t>
  </si>
  <si>
    <t>+8801711139473</t>
  </si>
  <si>
    <t>মোহাম্মদ সোনামুল ইসলাম</t>
  </si>
  <si>
    <t>jowelsona@gmail.com</t>
  </si>
  <si>
    <t>+8801854796202</t>
  </si>
  <si>
    <t>Rashidul Hasan</t>
  </si>
  <si>
    <t>rashidulh@frontiersemi.com</t>
  </si>
  <si>
    <t>+8801795892136</t>
  </si>
  <si>
    <t>Yousuf Ali Akon</t>
  </si>
  <si>
    <t>tahiayusuf@gmail.com</t>
  </si>
  <si>
    <t>+8801712742671</t>
  </si>
  <si>
    <t>Habib Rahman</t>
  </si>
  <si>
    <t>habib91700@gmail.com</t>
  </si>
  <si>
    <t>+8801859393072</t>
  </si>
  <si>
    <t>Syed Maskatur Rahman</t>
  </si>
  <si>
    <t>maskaturscb@gmail.com</t>
  </si>
  <si>
    <t>+8801711130623</t>
  </si>
  <si>
    <t>Rahim Biswas</t>
  </si>
  <si>
    <t>nishankhan467@gmail.com</t>
  </si>
  <si>
    <t>+8801929772143</t>
  </si>
  <si>
    <t>Mozibur Rahman Khan</t>
  </si>
  <si>
    <t>moziburrahmankhan81@gmail.com</t>
  </si>
  <si>
    <t>+8801799463616</t>
  </si>
  <si>
    <t>Mozammel Hoque</t>
  </si>
  <si>
    <t>mozammelhoque901@gmail.com</t>
  </si>
  <si>
    <t>+8801629773128</t>
  </si>
  <si>
    <t>Mitu Das</t>
  </si>
  <si>
    <t>rangapisi@gmail.com</t>
  </si>
  <si>
    <t>+8801754060048</t>
  </si>
  <si>
    <t>Engr Sk Shariful Islam</t>
  </si>
  <si>
    <t>sks571610@gmail.com</t>
  </si>
  <si>
    <t>+8801762625534</t>
  </si>
  <si>
    <t>Chowdhury Saheb</t>
  </si>
  <si>
    <t>f.i.chowdhury64@gmail.com</t>
  </si>
  <si>
    <t>+8801819918669</t>
  </si>
  <si>
    <t>Engr Main Chowdhury</t>
  </si>
  <si>
    <t>mainchowdhury40@gmail.com</t>
  </si>
  <si>
    <t>+88001711111254</t>
  </si>
  <si>
    <t>Enayetuddin Md Kaiser Khan</t>
  </si>
  <si>
    <t>kaiser@soniagroup.com</t>
  </si>
  <si>
    <t>+8801711560978</t>
  </si>
  <si>
    <t>Farzana Begum</t>
  </si>
  <si>
    <t>farzanabegum1954@gmail.com</t>
  </si>
  <si>
    <t>+8801311001667</t>
  </si>
  <si>
    <t>Md Mahin Sheisk</t>
  </si>
  <si>
    <t>mmd552374@gmail.com</t>
  </si>
  <si>
    <t>Jagodish Chandra Sarkar</t>
  </si>
  <si>
    <t>jcsarkar66@gmail.com</t>
  </si>
  <si>
    <t>+8801718045684</t>
  </si>
  <si>
    <t>Kamal Uddin Shaikh</t>
  </si>
  <si>
    <t>skkamaluddin1959@gmail.com</t>
  </si>
  <si>
    <t>+8801712448277</t>
  </si>
  <si>
    <t>Rana Sarkar</t>
  </si>
  <si>
    <t>smbusinesss1984@gmail.com</t>
  </si>
  <si>
    <t>+8801632240881</t>
  </si>
  <si>
    <t>MD Baten</t>
  </si>
  <si>
    <t>mabaten11@gmail.com</t>
  </si>
  <si>
    <t>+8801915003761</t>
  </si>
  <si>
    <t>Nazrul Bakul</t>
  </si>
  <si>
    <t>mnazul60@gmail.com</t>
  </si>
  <si>
    <t>+8801715286552</t>
  </si>
  <si>
    <t>Pappu Mahajan</t>
  </si>
  <si>
    <t>pappumj98@gmail.com</t>
  </si>
  <si>
    <t>+8801619339844</t>
  </si>
  <si>
    <t>Afsana Yasmin</t>
  </si>
  <si>
    <t>afsanapgn@yahoo.com</t>
  </si>
  <si>
    <t>+8801922884047</t>
  </si>
  <si>
    <t>Momtaz Begum</t>
  </si>
  <si>
    <t>momtazbg12@gmail.comr</t>
  </si>
  <si>
    <t>+88001760695447</t>
  </si>
  <si>
    <t>Mohammad Alauddin</t>
  </si>
  <si>
    <t>au120223@gmail.com</t>
  </si>
  <si>
    <t>+8801842657170</t>
  </si>
  <si>
    <t>Mst.Nurun Nahar</t>
  </si>
  <si>
    <t>nurun942@gmail.com</t>
  </si>
  <si>
    <t>+8801983577308</t>
  </si>
  <si>
    <t>MD Yasir Arafat Shamol</t>
  </si>
  <si>
    <t>mmdshamol8@gmail.com</t>
  </si>
  <si>
    <t>+8801922227498</t>
  </si>
  <si>
    <t>Saimun Afnan</t>
  </si>
  <si>
    <t>mdsaimun2017@gmail.com</t>
  </si>
  <si>
    <t>+8801705165268</t>
  </si>
  <si>
    <t>Masudur Rahman</t>
  </si>
  <si>
    <t>masudbd1982@gmail.com</t>
  </si>
  <si>
    <t>+67571805554</t>
  </si>
  <si>
    <t>Md Jahangir</t>
  </si>
  <si>
    <t>luckyjahangirluckyakther@gmail.com</t>
  </si>
  <si>
    <t>+966581404767</t>
  </si>
  <si>
    <t>Mohammad Kamruzzaman</t>
  </si>
  <si>
    <t>kzaman00m@gmail.com</t>
  </si>
  <si>
    <t>+8801819963839</t>
  </si>
  <si>
    <t>Sohidul Islam</t>
  </si>
  <si>
    <t>sohodilislam18183@gmail.com</t>
  </si>
  <si>
    <t>+8801913092866</t>
  </si>
  <si>
    <t>আয়ান আহনাফ আতিক</t>
  </si>
  <si>
    <t>ahnafatique3@gmail.com</t>
  </si>
  <si>
    <t>+8801975511333</t>
  </si>
  <si>
    <t>Alhaz Ahmed</t>
  </si>
  <si>
    <t>Alhajsorder5@gmail.com</t>
  </si>
  <si>
    <t>+8801795212927</t>
  </si>
  <si>
    <t>Nurul Islam</t>
  </si>
  <si>
    <t>ni2947950@gmail.com</t>
  </si>
  <si>
    <t>+8801836750615</t>
  </si>
  <si>
    <t>Gamia Xannat</t>
  </si>
  <si>
    <t>Hajjbsjshbbhj@gmail.com</t>
  </si>
  <si>
    <t>+88001976589738</t>
  </si>
  <si>
    <t>Niyamot Ali Waresi</t>
  </si>
  <si>
    <t>niyamotaliwaresi@gmail.com</t>
  </si>
  <si>
    <t>+8801711344625</t>
  </si>
  <si>
    <t>MD MOINUDDIN MONDOL</t>
  </si>
  <si>
    <t>moinuddinmondol1@gmail.com</t>
  </si>
  <si>
    <t>+8801775079445</t>
  </si>
  <si>
    <t>Ishita Nanji</t>
  </si>
  <si>
    <t>Hhahah@gmai.com</t>
  </si>
  <si>
    <t>Amit Banik</t>
  </si>
  <si>
    <t>amitenterprise5400@gmail.com</t>
  </si>
  <si>
    <t>+8801842757471</t>
  </si>
  <si>
    <t>Ateya Khanam</t>
  </si>
  <si>
    <t>ateya.khanam@gmail.com</t>
  </si>
  <si>
    <t>+8801815385113</t>
  </si>
  <si>
    <t>Fatamatus Johora</t>
  </si>
  <si>
    <t>tasnim.nishet786@gmail.com</t>
  </si>
  <si>
    <t>+8801798704267</t>
  </si>
  <si>
    <t>Mizan Bablu</t>
  </si>
  <si>
    <t>mizanbablu12@gmail.com</t>
  </si>
  <si>
    <t>+27626206058</t>
  </si>
  <si>
    <t>Iqbal Hussain Raju</t>
  </si>
  <si>
    <t>hussainiqbal654@gmail.com</t>
  </si>
  <si>
    <t>+8801865322576</t>
  </si>
  <si>
    <t>Md Samad</t>
  </si>
  <si>
    <t>faiyadmahmud2020@gmail.com</t>
  </si>
  <si>
    <t>+8801718568662</t>
  </si>
  <si>
    <t>shahjahan,chowdhury.puzkara</t>
  </si>
  <si>
    <t>shahjahanchowdhury9@gmail.com</t>
  </si>
  <si>
    <t>+8801711181878</t>
  </si>
  <si>
    <t>G Mowla</t>
  </si>
  <si>
    <t>mowla.g@helllenicintl.com</t>
  </si>
  <si>
    <t>+8801711667773</t>
  </si>
  <si>
    <t>Abdul Gaffar</t>
  </si>
  <si>
    <t>abdulgaffar66720@gmail.com</t>
  </si>
  <si>
    <t>+8801974399500</t>
  </si>
  <si>
    <t>Rafiqul Islam Rafique</t>
  </si>
  <si>
    <t>haji.rafiqul@gmail.com</t>
  </si>
  <si>
    <t>+8801711174291</t>
  </si>
  <si>
    <t>Syed Solaiman Dulal</t>
  </si>
  <si>
    <t>solaimandulalsyed92@gmail.com</t>
  </si>
  <si>
    <t>+8801731384284</t>
  </si>
  <si>
    <t>Ekhlasur Rahman</t>
  </si>
  <si>
    <t>ekhlasurrahman638@gmail.com</t>
  </si>
  <si>
    <t>+8801854971221</t>
  </si>
  <si>
    <t>Ruhul Amin</t>
  </si>
  <si>
    <t>ruhul.fd@gmail.com</t>
  </si>
  <si>
    <t>+8801761494640</t>
  </si>
  <si>
    <t>Bidduth Roy</t>
  </si>
  <si>
    <t>moushumiroy864@gmail.com</t>
  </si>
  <si>
    <t>+8801712358784</t>
  </si>
  <si>
    <t>Abdul Mannan Inqilab</t>
  </si>
  <si>
    <t>amannanreporter@gmail.com</t>
  </si>
  <si>
    <t>+88001713540109</t>
  </si>
  <si>
    <t>Fakir Abdul Kader</t>
  </si>
  <si>
    <t>fakirabdulkader@gmail.com</t>
  </si>
  <si>
    <t>+8801749342445</t>
  </si>
  <si>
    <t>Jaber Al Noor Tipu</t>
  </si>
  <si>
    <t>jaberalnoor@gmail.com</t>
  </si>
  <si>
    <t>+8801755546126</t>
  </si>
  <si>
    <t>M.s. Abrar</t>
  </si>
  <si>
    <t>msabrar13@gmail.com</t>
  </si>
  <si>
    <t>+8801864345199</t>
  </si>
  <si>
    <t>Arifur Rahman</t>
  </si>
  <si>
    <t>aimarifurrahman@gmail.com</t>
  </si>
  <si>
    <t>+8801911667402</t>
  </si>
  <si>
    <t>Marjina Hapi</t>
  </si>
  <si>
    <t>marjinahappy85@gmail.com</t>
  </si>
  <si>
    <t>+8801933083210</t>
  </si>
  <si>
    <t>MD Zaman</t>
  </si>
  <si>
    <t>ismamzamanshuptoo@gmail.com</t>
  </si>
  <si>
    <t>+8801711022935</t>
  </si>
  <si>
    <t>Subal chandra Das.</t>
  </si>
  <si>
    <t>dassubal1211@gmail.com</t>
  </si>
  <si>
    <t>+8801819373920</t>
  </si>
  <si>
    <t>Hoque Faishal</t>
  </si>
  <si>
    <t>hoquefaishal@yahoo.com</t>
  </si>
  <si>
    <t>+8801711287402</t>
  </si>
  <si>
    <t>Tahmidul Hoque</t>
  </si>
  <si>
    <t>reyad2005@gmail.com</t>
  </si>
  <si>
    <t>+8801911310441</t>
  </si>
  <si>
    <t>shariful alam</t>
  </si>
  <si>
    <t>vuluarine@gmail.com</t>
  </si>
  <si>
    <t>+8801715752299</t>
  </si>
  <si>
    <t>Shireen Monjur</t>
  </si>
  <si>
    <t>shireenmonjur@gmail.com</t>
  </si>
  <si>
    <t>+8801990828021</t>
  </si>
  <si>
    <t>Farayzul Haque</t>
  </si>
  <si>
    <t>farayzulhaque@gmail.com</t>
  </si>
  <si>
    <t>+8801711587749</t>
  </si>
  <si>
    <t>Nashir Zaman Babul</t>
  </si>
  <si>
    <t>printview.dhk@gmail.com</t>
  </si>
  <si>
    <t>+8801674928876</t>
  </si>
  <si>
    <t>S.M. Tanzil Arefin</t>
  </si>
  <si>
    <t>smtarefin121@gmail.com</t>
  </si>
  <si>
    <t>+8801722807268</t>
  </si>
  <si>
    <t>Md Sayed</t>
  </si>
  <si>
    <t>sayid7667@gmail.com</t>
  </si>
  <si>
    <t>+96898138516</t>
  </si>
  <si>
    <t>Sunjukta Bhadra</t>
  </si>
  <si>
    <t>sunjuktabhadra@gmail.com</t>
  </si>
  <si>
    <t>+88001755693882</t>
  </si>
  <si>
    <t>Mohamed Umaru</t>
  </si>
  <si>
    <t>mohamedumaru1@gmail.com</t>
  </si>
  <si>
    <t>+8801873339527</t>
  </si>
  <si>
    <t>Md. Fakhrul Islam</t>
  </si>
  <si>
    <t>fislamtraders59@gmail.com</t>
  </si>
  <si>
    <t>+8801714033612</t>
  </si>
  <si>
    <t>Dr. Abdul Matin Talukder</t>
  </si>
  <si>
    <t>abdulmtalukder@yahoo.com</t>
  </si>
  <si>
    <t>+8801726792760</t>
  </si>
  <si>
    <t>M Rahman</t>
  </si>
  <si>
    <t>mujibor1@yahoo.com</t>
  </si>
  <si>
    <t>+8801764338255</t>
  </si>
  <si>
    <t>Ehsanur Rahman</t>
  </si>
  <si>
    <t>rz.ehsan14@gmail.com</t>
  </si>
  <si>
    <t>+8801997751988</t>
  </si>
  <si>
    <t>ইকরামুল করিম</t>
  </si>
  <si>
    <t>ekramulkarim64@gmail.com</t>
  </si>
  <si>
    <t>+8801711131651</t>
  </si>
  <si>
    <t>মোঃ সাইদুর রহমান মেরাজ</t>
  </si>
  <si>
    <t>mdmerajali13347@gmail.vom</t>
  </si>
  <si>
    <t>+8801518701464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</si>
</sst>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0" fillId="0" borderId="0" xfId="0" applyFont="1" applyFill="1" applyAlignment="1"/>
    <xf numFmtId="0" fontId="23" fillId="0" borderId="10" xfId="0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23" fillId="34" borderId="12" xfId="0" applyFont="1" applyFill="1" applyBorder="1" applyAlignment="1">
      <alignment horizontal="center"/>
    </xf>
    <xf numFmtId="0" fontId="26" fillId="0" borderId="13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18" fillId="0" borderId="10" xfId="0" applyNumberFormat="1" applyFont="1" applyFill="1" applyBorder="1" applyAlignment="1" applyProtection="1">
      <alignment horizontal="left"/>
    </xf>
    <xf numFmtId="0" fontId="0" fillId="0" borderId="10" xfId="0" applyBorder="1" applyAlignment="1">
      <alignment horizontal="center"/>
    </xf>
    <xf numFmtId="0" fontId="21" fillId="0" borderId="10" xfId="0" applyNumberFormat="1" applyFont="1" applyFill="1" applyBorder="1" applyAlignment="1" applyProtection="1">
      <alignment horizontal="left"/>
    </xf>
    <xf numFmtId="0" fontId="18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center" vertical="center"/>
    </xf>
    <xf numFmtId="49" fontId="19" fillId="0" borderId="10" xfId="0" applyNumberFormat="1" applyFont="1" applyFill="1" applyBorder="1" applyAlignment="1" applyProtection="1">
      <alignment vertical="center"/>
    </xf>
    <xf numFmtId="49" fontId="19" fillId="0" borderId="10" xfId="0" applyNumberFormat="1" applyFont="1" applyFill="1" applyBorder="1" applyAlignment="1" applyProtection="1">
      <alignment horizontal="left" vertical="center"/>
    </xf>
    <xf numFmtId="0" fontId="19" fillId="0" borderId="10" xfId="0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center" vertical="center"/>
    </xf>
    <xf numFmtId="49" fontId="19" fillId="0" borderId="10" xfId="0" applyNumberFormat="1" applyFont="1" applyFill="1" applyBorder="1" applyAlignment="1" applyProtection="1">
      <alignment horizontal="center" vertical="center" wrapText="1"/>
    </xf>
    <xf numFmtId="0" fontId="19" fillId="0" borderId="10" xfId="0" applyNumberFormat="1" applyFont="1" applyFill="1" applyBorder="1" applyAlignment="1" applyProtection="1">
      <alignment horizontal="left" vertical="center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7" fillId="0" borderId="0" xfId="0" applyFont="1" applyAlignment="1">
      <alignment horizontal="left"/>
    </xf>
    <xf numFmtId="1" fontId="27" fillId="0" borderId="0" xfId="0" applyNumberFormat="1" applyFont="1" applyAlignment="1">
      <alignment horizontal="right"/>
    </xf>
    <xf numFmtId="0" fontId="23" fillId="0" borderId="12" xfId="0" applyFont="1" applyFill="1" applyBorder="1" applyAlignment="1">
      <alignment horizontal="center"/>
    </xf>
    <xf numFmtId="0" fontId="22" fillId="35" borderId="16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98"/>
  <sheetViews>
    <sheetView tabSelected="1" workbookViewId="0">
      <selection activeCell="H69" sqref="H69:H98"/>
    </sheetView>
  </sheetViews>
  <sheetFormatPr defaultRowHeight="15" x14ac:dyDescent="0.25"/>
  <cols>
    <col min="1" max="1" width="16.28515625" style="1" customWidth="1"/>
    <col min="2" max="2" width="33" customWidth="1"/>
    <col min="3" max="3" width="33.140625" style="8" customWidth="1"/>
    <col min="4" max="4" width="19.42578125" style="9" customWidth="1"/>
    <col min="5" max="5" width="15.28515625" customWidth="1"/>
    <col min="6" max="6" width="11.5703125" style="1" bestFit="1" customWidth="1"/>
    <col min="7" max="7" width="14.140625" bestFit="1" customWidth="1"/>
    <col min="8" max="8" width="14.140625" style="15" customWidth="1"/>
    <col min="9" max="9" width="11.140625" customWidth="1"/>
    <col min="10" max="10" width="10.5703125" customWidth="1"/>
  </cols>
  <sheetData>
    <row r="1" spans="1:8" ht="30" x14ac:dyDescent="0.25">
      <c r="A1" s="23" t="s">
        <v>3</v>
      </c>
      <c r="B1" s="30" t="s">
        <v>0</v>
      </c>
      <c r="C1" s="25" t="s">
        <v>2</v>
      </c>
      <c r="D1" s="26" t="s">
        <v>1</v>
      </c>
      <c r="E1" s="27" t="s">
        <v>4</v>
      </c>
      <c r="F1" s="24" t="s">
        <v>6</v>
      </c>
      <c r="G1" s="28" t="s">
        <v>7</v>
      </c>
      <c r="H1" s="29" t="s">
        <v>5</v>
      </c>
    </row>
    <row r="2" spans="1:8" ht="19.5" x14ac:dyDescent="0.3">
      <c r="A2" s="20">
        <v>34</v>
      </c>
      <c r="B2" s="22" t="s">
        <v>19</v>
      </c>
      <c r="C2" s="22" t="s">
        <v>20</v>
      </c>
      <c r="D2" s="22" t="s">
        <v>21</v>
      </c>
      <c r="E2" s="19" t="s">
        <v>25</v>
      </c>
      <c r="F2" s="20">
        <v>1</v>
      </c>
      <c r="G2" s="21" t="s">
        <v>8</v>
      </c>
      <c r="H2" s="36">
        <v>4</v>
      </c>
    </row>
    <row r="3" spans="1:8" ht="19.5" x14ac:dyDescent="0.3">
      <c r="A3" s="20">
        <v>34</v>
      </c>
      <c r="B3" s="34" t="s">
        <v>26</v>
      </c>
      <c r="C3" s="34" t="s">
        <v>27</v>
      </c>
      <c r="D3" s="34" t="s">
        <v>28</v>
      </c>
      <c r="E3" s="19" t="s">
        <v>25</v>
      </c>
      <c r="F3" s="20">
        <v>1</v>
      </c>
      <c r="G3" s="21" t="s">
        <v>8</v>
      </c>
      <c r="H3" s="36">
        <v>11</v>
      </c>
    </row>
    <row r="4" spans="1:8" ht="19.5" x14ac:dyDescent="0.3">
      <c r="A4" s="20">
        <v>34</v>
      </c>
      <c r="B4" s="34" t="s">
        <v>29</v>
      </c>
      <c r="C4" s="34" t="s">
        <v>30</v>
      </c>
      <c r="D4" s="34" t="s">
        <v>31</v>
      </c>
      <c r="E4" s="19" t="s">
        <v>25</v>
      </c>
      <c r="F4" s="20">
        <v>1</v>
      </c>
      <c r="G4" s="21" t="s">
        <v>8</v>
      </c>
      <c r="H4" s="36">
        <v>4</v>
      </c>
    </row>
    <row r="5" spans="1:8" ht="19.5" x14ac:dyDescent="0.3">
      <c r="A5" s="20">
        <v>34</v>
      </c>
      <c r="B5" s="34" t="s">
        <v>32</v>
      </c>
      <c r="C5" s="34" t="s">
        <v>33</v>
      </c>
      <c r="D5" s="34" t="s">
        <v>34</v>
      </c>
      <c r="E5" s="19" t="s">
        <v>25</v>
      </c>
      <c r="F5" s="20">
        <v>1</v>
      </c>
      <c r="G5" s="21" t="s">
        <v>8</v>
      </c>
      <c r="H5" s="36">
        <v>11</v>
      </c>
    </row>
    <row r="6" spans="1:8" ht="19.5" x14ac:dyDescent="0.3">
      <c r="A6" s="20">
        <v>34</v>
      </c>
      <c r="B6" s="34" t="s">
        <v>35</v>
      </c>
      <c r="C6" s="34" t="s">
        <v>36</v>
      </c>
      <c r="D6" s="34" t="s">
        <v>37</v>
      </c>
      <c r="E6" s="19" t="s">
        <v>25</v>
      </c>
      <c r="F6" s="20">
        <v>1</v>
      </c>
      <c r="G6" s="21" t="s">
        <v>8</v>
      </c>
      <c r="H6" s="36">
        <v>4</v>
      </c>
    </row>
    <row r="7" spans="1:8" ht="19.5" x14ac:dyDescent="0.3">
      <c r="A7" s="20">
        <v>34</v>
      </c>
      <c r="B7" s="34" t="s">
        <v>38</v>
      </c>
      <c r="C7" s="34" t="s">
        <v>39</v>
      </c>
      <c r="D7" s="34" t="s">
        <v>40</v>
      </c>
      <c r="E7" s="19" t="s">
        <v>25</v>
      </c>
      <c r="F7" s="20">
        <v>1</v>
      </c>
      <c r="G7" s="21" t="s">
        <v>8</v>
      </c>
      <c r="H7" s="36">
        <v>11</v>
      </c>
    </row>
    <row r="8" spans="1:8" ht="19.5" x14ac:dyDescent="0.3">
      <c r="A8" s="20">
        <v>34</v>
      </c>
      <c r="B8" s="34" t="s">
        <v>41</v>
      </c>
      <c r="C8" s="34" t="s">
        <v>42</v>
      </c>
      <c r="D8" s="34" t="s">
        <v>43</v>
      </c>
      <c r="E8" s="19" t="s">
        <v>25</v>
      </c>
      <c r="F8" s="20">
        <v>1</v>
      </c>
      <c r="G8" s="21" t="s">
        <v>8</v>
      </c>
      <c r="H8" s="36">
        <v>4</v>
      </c>
    </row>
    <row r="9" spans="1:8" ht="19.5" x14ac:dyDescent="0.3">
      <c r="A9" s="20">
        <v>34</v>
      </c>
      <c r="B9" s="34" t="s">
        <v>44</v>
      </c>
      <c r="C9" s="34" t="s">
        <v>45</v>
      </c>
      <c r="D9" s="35">
        <v>1313166724</v>
      </c>
      <c r="E9" s="19" t="s">
        <v>25</v>
      </c>
      <c r="F9" s="20">
        <v>1</v>
      </c>
      <c r="G9" s="21" t="s">
        <v>8</v>
      </c>
      <c r="H9" s="36">
        <v>11</v>
      </c>
    </row>
    <row r="10" spans="1:8" ht="19.5" x14ac:dyDescent="0.3">
      <c r="A10" s="20">
        <v>34</v>
      </c>
      <c r="B10" s="34" t="s">
        <v>46</v>
      </c>
      <c r="C10" s="34" t="s">
        <v>47</v>
      </c>
      <c r="D10" s="34" t="s">
        <v>48</v>
      </c>
      <c r="E10" s="19" t="s">
        <v>25</v>
      </c>
      <c r="F10" s="20">
        <v>1</v>
      </c>
      <c r="G10" s="21" t="s">
        <v>8</v>
      </c>
      <c r="H10" s="36">
        <v>4</v>
      </c>
    </row>
    <row r="11" spans="1:8" ht="19.5" x14ac:dyDescent="0.3">
      <c r="A11" s="20">
        <v>34</v>
      </c>
      <c r="B11" s="34" t="s">
        <v>49</v>
      </c>
      <c r="C11" s="34" t="s">
        <v>50</v>
      </c>
      <c r="D11" s="34" t="s">
        <v>51</v>
      </c>
      <c r="E11" s="19" t="s">
        <v>25</v>
      </c>
      <c r="F11" s="20">
        <v>1</v>
      </c>
      <c r="G11" s="21" t="s">
        <v>8</v>
      </c>
      <c r="H11" s="36">
        <v>11</v>
      </c>
    </row>
    <row r="12" spans="1:8" ht="19.5" x14ac:dyDescent="0.3">
      <c r="A12" s="20">
        <v>34</v>
      </c>
      <c r="B12" s="34" t="s">
        <v>52</v>
      </c>
      <c r="C12" s="34" t="s">
        <v>53</v>
      </c>
      <c r="D12" s="34" t="s">
        <v>54</v>
      </c>
      <c r="E12" s="19" t="s">
        <v>25</v>
      </c>
      <c r="F12" s="20">
        <v>1</v>
      </c>
      <c r="G12" s="21" t="s">
        <v>8</v>
      </c>
      <c r="H12" s="36">
        <v>4</v>
      </c>
    </row>
    <row r="13" spans="1:8" ht="19.5" x14ac:dyDescent="0.3">
      <c r="A13" s="20">
        <v>34</v>
      </c>
      <c r="B13" s="34" t="s">
        <v>55</v>
      </c>
      <c r="C13" s="34" t="s">
        <v>56</v>
      </c>
      <c r="D13" s="34" t="s">
        <v>57</v>
      </c>
      <c r="E13" s="19" t="s">
        <v>25</v>
      </c>
      <c r="F13" s="20">
        <v>1</v>
      </c>
      <c r="G13" s="21" t="s">
        <v>8</v>
      </c>
      <c r="H13" s="36">
        <v>11</v>
      </c>
    </row>
    <row r="14" spans="1:8" ht="19.5" x14ac:dyDescent="0.3">
      <c r="A14" s="20">
        <v>34</v>
      </c>
      <c r="B14" s="34" t="s">
        <v>58</v>
      </c>
      <c r="C14" s="34" t="s">
        <v>59</v>
      </c>
      <c r="D14" s="34" t="s">
        <v>60</v>
      </c>
      <c r="E14" s="19" t="s">
        <v>25</v>
      </c>
      <c r="F14" s="20">
        <v>1</v>
      </c>
      <c r="G14" s="21" t="s">
        <v>8</v>
      </c>
      <c r="H14" s="36">
        <v>4</v>
      </c>
    </row>
    <row r="15" spans="1:8" ht="19.5" x14ac:dyDescent="0.3">
      <c r="A15" s="20">
        <v>34</v>
      </c>
      <c r="B15" s="34" t="s">
        <v>61</v>
      </c>
      <c r="C15" s="34" t="s">
        <v>62</v>
      </c>
      <c r="D15" s="34" t="s">
        <v>63</v>
      </c>
      <c r="E15" s="19" t="s">
        <v>25</v>
      </c>
      <c r="F15" s="20">
        <v>1</v>
      </c>
      <c r="G15" s="21" t="s">
        <v>8</v>
      </c>
      <c r="H15" s="36">
        <v>11</v>
      </c>
    </row>
    <row r="16" spans="1:8" ht="19.5" x14ac:dyDescent="0.3">
      <c r="A16" s="20">
        <v>34</v>
      </c>
      <c r="B16" s="34" t="s">
        <v>64</v>
      </c>
      <c r="C16" s="34" t="s">
        <v>65</v>
      </c>
      <c r="D16" s="34" t="s">
        <v>66</v>
      </c>
      <c r="E16" s="19" t="s">
        <v>25</v>
      </c>
      <c r="F16" s="20">
        <v>1</v>
      </c>
      <c r="G16" s="21" t="s">
        <v>8</v>
      </c>
      <c r="H16" s="36">
        <v>4</v>
      </c>
    </row>
    <row r="17" spans="1:8" ht="19.5" x14ac:dyDescent="0.3">
      <c r="A17" s="20">
        <v>34</v>
      </c>
      <c r="B17" s="34" t="s">
        <v>67</v>
      </c>
      <c r="C17" s="34" t="s">
        <v>68</v>
      </c>
      <c r="D17" s="34" t="s">
        <v>69</v>
      </c>
      <c r="E17" s="19" t="s">
        <v>25</v>
      </c>
      <c r="F17" s="20">
        <v>1</v>
      </c>
      <c r="G17" s="21" t="s">
        <v>8</v>
      </c>
      <c r="H17" s="36">
        <v>11</v>
      </c>
    </row>
    <row r="18" spans="1:8" ht="19.5" x14ac:dyDescent="0.3">
      <c r="A18" s="20">
        <v>34</v>
      </c>
      <c r="B18" s="34" t="s">
        <v>70</v>
      </c>
      <c r="C18" s="34" t="s">
        <v>71</v>
      </c>
      <c r="D18" s="34" t="s">
        <v>72</v>
      </c>
      <c r="E18" s="19" t="s">
        <v>25</v>
      </c>
      <c r="F18" s="20">
        <v>1</v>
      </c>
      <c r="G18" s="21" t="s">
        <v>8</v>
      </c>
      <c r="H18" s="36">
        <v>4</v>
      </c>
    </row>
    <row r="19" spans="1:8" ht="19.5" x14ac:dyDescent="0.3">
      <c r="A19" s="20">
        <v>34</v>
      </c>
      <c r="B19" s="34" t="s">
        <v>73</v>
      </c>
      <c r="C19" s="34" t="s">
        <v>74</v>
      </c>
      <c r="D19" s="34" t="s">
        <v>75</v>
      </c>
      <c r="E19" s="19" t="s">
        <v>25</v>
      </c>
      <c r="F19" s="20">
        <v>1</v>
      </c>
      <c r="G19" s="21" t="s">
        <v>8</v>
      </c>
      <c r="H19" s="36">
        <v>11</v>
      </c>
    </row>
    <row r="20" spans="1:8" ht="19.5" x14ac:dyDescent="0.3">
      <c r="A20" s="20">
        <v>34</v>
      </c>
      <c r="B20" s="34" t="s">
        <v>76</v>
      </c>
      <c r="C20" s="34" t="s">
        <v>77</v>
      </c>
      <c r="D20" s="34" t="s">
        <v>78</v>
      </c>
      <c r="E20" s="19" t="s">
        <v>25</v>
      </c>
      <c r="F20" s="20">
        <v>1</v>
      </c>
      <c r="G20" s="21" t="s">
        <v>8</v>
      </c>
      <c r="H20" s="36">
        <v>4</v>
      </c>
    </row>
    <row r="21" spans="1:8" ht="19.5" x14ac:dyDescent="0.3">
      <c r="A21" s="20">
        <v>34</v>
      </c>
      <c r="B21" s="34" t="s">
        <v>79</v>
      </c>
      <c r="C21" s="34" t="s">
        <v>80</v>
      </c>
      <c r="D21" s="34" t="s">
        <v>81</v>
      </c>
      <c r="E21" s="19" t="s">
        <v>25</v>
      </c>
      <c r="F21" s="20">
        <v>1</v>
      </c>
      <c r="G21" s="21" t="s">
        <v>8</v>
      </c>
      <c r="H21" s="36">
        <v>11</v>
      </c>
    </row>
    <row r="22" spans="1:8" ht="19.5" x14ac:dyDescent="0.3">
      <c r="A22" s="20">
        <v>34</v>
      </c>
      <c r="B22" s="34" t="s">
        <v>82</v>
      </c>
      <c r="C22" s="34" t="s">
        <v>83</v>
      </c>
      <c r="D22" s="34" t="s">
        <v>84</v>
      </c>
      <c r="E22" s="19" t="s">
        <v>25</v>
      </c>
      <c r="F22" s="20">
        <v>1</v>
      </c>
      <c r="G22" s="21" t="s">
        <v>8</v>
      </c>
      <c r="H22" s="36">
        <v>4</v>
      </c>
    </row>
    <row r="23" spans="1:8" ht="19.5" x14ac:dyDescent="0.3">
      <c r="A23" s="20">
        <v>34</v>
      </c>
      <c r="B23" s="34" t="s">
        <v>85</v>
      </c>
      <c r="C23" s="34" t="s">
        <v>86</v>
      </c>
      <c r="D23" s="34" t="s">
        <v>87</v>
      </c>
      <c r="E23" s="19" t="s">
        <v>25</v>
      </c>
      <c r="F23" s="20">
        <v>1</v>
      </c>
      <c r="G23" s="21" t="s">
        <v>8</v>
      </c>
      <c r="H23" s="36">
        <v>11</v>
      </c>
    </row>
    <row r="24" spans="1:8" ht="19.5" x14ac:dyDescent="0.3">
      <c r="A24" s="20">
        <v>34</v>
      </c>
      <c r="B24" s="34" t="s">
        <v>88</v>
      </c>
      <c r="C24" s="34" t="s">
        <v>89</v>
      </c>
      <c r="D24" s="34" t="s">
        <v>90</v>
      </c>
      <c r="E24" s="19" t="s">
        <v>25</v>
      </c>
      <c r="F24" s="20">
        <v>1</v>
      </c>
      <c r="G24" s="21" t="s">
        <v>8</v>
      </c>
      <c r="H24" s="36">
        <v>4</v>
      </c>
    </row>
    <row r="25" spans="1:8" ht="19.5" x14ac:dyDescent="0.3">
      <c r="A25" s="20">
        <v>34</v>
      </c>
      <c r="B25" s="34" t="s">
        <v>91</v>
      </c>
      <c r="C25" s="34" t="s">
        <v>92</v>
      </c>
      <c r="D25" s="34" t="s">
        <v>93</v>
      </c>
      <c r="E25" s="19" t="s">
        <v>25</v>
      </c>
      <c r="F25" s="20">
        <v>1</v>
      </c>
      <c r="G25" s="21" t="s">
        <v>8</v>
      </c>
      <c r="H25" s="36">
        <v>11</v>
      </c>
    </row>
    <row r="26" spans="1:8" ht="19.5" x14ac:dyDescent="0.3">
      <c r="A26" s="20">
        <v>34</v>
      </c>
      <c r="B26" s="34" t="s">
        <v>94</v>
      </c>
      <c r="C26" s="34" t="s">
        <v>95</v>
      </c>
      <c r="D26" s="34" t="s">
        <v>96</v>
      </c>
      <c r="E26" s="19" t="s">
        <v>25</v>
      </c>
      <c r="F26" s="20">
        <v>1</v>
      </c>
      <c r="G26" s="21" t="s">
        <v>8</v>
      </c>
      <c r="H26" s="36">
        <v>4</v>
      </c>
    </row>
    <row r="27" spans="1:8" ht="19.5" x14ac:dyDescent="0.3">
      <c r="A27" s="20">
        <v>34</v>
      </c>
      <c r="B27" s="34" t="s">
        <v>97</v>
      </c>
      <c r="C27" s="34" t="s">
        <v>98</v>
      </c>
      <c r="D27" s="34" t="s">
        <v>99</v>
      </c>
      <c r="E27" s="19" t="s">
        <v>25</v>
      </c>
      <c r="F27" s="20">
        <v>1</v>
      </c>
      <c r="G27" s="21" t="s">
        <v>8</v>
      </c>
      <c r="H27" s="36">
        <v>11</v>
      </c>
    </row>
    <row r="28" spans="1:8" ht="19.5" x14ac:dyDescent="0.3">
      <c r="A28" s="20">
        <v>34</v>
      </c>
      <c r="B28" s="34" t="s">
        <v>100</v>
      </c>
      <c r="C28" s="34" t="s">
        <v>101</v>
      </c>
      <c r="D28" s="34" t="s">
        <v>102</v>
      </c>
      <c r="E28" s="19" t="s">
        <v>25</v>
      </c>
      <c r="F28" s="20">
        <v>1</v>
      </c>
      <c r="G28" s="21" t="s">
        <v>8</v>
      </c>
      <c r="H28" s="36">
        <v>4</v>
      </c>
    </row>
    <row r="29" spans="1:8" ht="19.5" x14ac:dyDescent="0.3">
      <c r="A29" s="20">
        <v>34</v>
      </c>
      <c r="B29" s="34" t="s">
        <v>103</v>
      </c>
      <c r="C29" s="34" t="s">
        <v>104</v>
      </c>
      <c r="D29" s="34" t="s">
        <v>105</v>
      </c>
      <c r="E29" s="19" t="s">
        <v>25</v>
      </c>
      <c r="F29" s="20">
        <v>1</v>
      </c>
      <c r="G29" s="21" t="s">
        <v>8</v>
      </c>
      <c r="H29" s="36">
        <v>11</v>
      </c>
    </row>
    <row r="30" spans="1:8" ht="19.5" x14ac:dyDescent="0.3">
      <c r="A30" s="20">
        <v>34</v>
      </c>
      <c r="B30" s="34" t="s">
        <v>106</v>
      </c>
      <c r="C30" s="34" t="s">
        <v>107</v>
      </c>
      <c r="D30" s="34" t="s">
        <v>108</v>
      </c>
      <c r="E30" s="19" t="s">
        <v>25</v>
      </c>
      <c r="F30" s="20">
        <v>1</v>
      </c>
      <c r="G30" s="21" t="s">
        <v>8</v>
      </c>
      <c r="H30" s="36">
        <v>4</v>
      </c>
    </row>
    <row r="31" spans="1:8" ht="19.5" x14ac:dyDescent="0.3">
      <c r="A31" s="20">
        <v>34</v>
      </c>
      <c r="B31" s="34" t="s">
        <v>109</v>
      </c>
      <c r="C31" s="34" t="s">
        <v>110</v>
      </c>
      <c r="D31" s="34" t="s">
        <v>111</v>
      </c>
      <c r="E31" s="19" t="s">
        <v>25</v>
      </c>
      <c r="F31" s="20">
        <v>1</v>
      </c>
      <c r="G31" s="21" t="s">
        <v>8</v>
      </c>
      <c r="H31" s="36">
        <v>11</v>
      </c>
    </row>
    <row r="32" spans="1:8" ht="19.5" x14ac:dyDescent="0.3">
      <c r="A32" s="20">
        <v>34</v>
      </c>
      <c r="B32" s="34" t="s">
        <v>112</v>
      </c>
      <c r="C32" s="34" t="s">
        <v>113</v>
      </c>
      <c r="D32" s="34" t="s">
        <v>114</v>
      </c>
      <c r="E32" s="19" t="s">
        <v>25</v>
      </c>
      <c r="F32" s="20">
        <v>1</v>
      </c>
      <c r="G32" s="21" t="s">
        <v>8</v>
      </c>
      <c r="H32" s="36">
        <v>4</v>
      </c>
    </row>
    <row r="33" spans="1:8" ht="19.5" x14ac:dyDescent="0.3">
      <c r="A33" s="20">
        <v>34</v>
      </c>
      <c r="B33" s="34" t="s">
        <v>115</v>
      </c>
      <c r="C33" s="34" t="s">
        <v>116</v>
      </c>
      <c r="D33" s="34" t="s">
        <v>117</v>
      </c>
      <c r="E33" s="19" t="s">
        <v>25</v>
      </c>
      <c r="F33" s="20">
        <v>1</v>
      </c>
      <c r="G33" s="21" t="s">
        <v>8</v>
      </c>
      <c r="H33" s="36">
        <v>11</v>
      </c>
    </row>
    <row r="34" spans="1:8" ht="19.5" x14ac:dyDescent="0.3">
      <c r="A34" s="20">
        <v>34</v>
      </c>
      <c r="B34" s="34" t="s">
        <v>118</v>
      </c>
      <c r="C34" s="34" t="s">
        <v>119</v>
      </c>
      <c r="D34" s="34" t="s">
        <v>120</v>
      </c>
      <c r="E34" s="19" t="s">
        <v>25</v>
      </c>
      <c r="F34" s="20">
        <v>1</v>
      </c>
      <c r="G34" s="21" t="s">
        <v>8</v>
      </c>
      <c r="H34" s="36">
        <v>4</v>
      </c>
    </row>
    <row r="35" spans="1:8" ht="19.5" x14ac:dyDescent="0.3">
      <c r="A35" s="20">
        <v>34</v>
      </c>
      <c r="B35" s="34" t="s">
        <v>121</v>
      </c>
      <c r="C35" s="34" t="s">
        <v>122</v>
      </c>
      <c r="D35" s="34" t="s">
        <v>123</v>
      </c>
      <c r="E35" s="19" t="s">
        <v>25</v>
      </c>
      <c r="F35" s="20">
        <v>1</v>
      </c>
      <c r="G35" s="21" t="s">
        <v>8</v>
      </c>
      <c r="H35" s="36">
        <v>11</v>
      </c>
    </row>
    <row r="36" spans="1:8" ht="19.5" x14ac:dyDescent="0.3">
      <c r="A36" s="20">
        <v>34</v>
      </c>
      <c r="B36" s="34" t="s">
        <v>124</v>
      </c>
      <c r="C36" s="34" t="s">
        <v>125</v>
      </c>
      <c r="D36" s="35">
        <v>1952140620</v>
      </c>
      <c r="E36" s="19" t="s">
        <v>25</v>
      </c>
      <c r="F36" s="20">
        <v>1</v>
      </c>
      <c r="G36" s="21" t="s">
        <v>8</v>
      </c>
      <c r="H36" s="36">
        <v>4</v>
      </c>
    </row>
    <row r="37" spans="1:8" ht="19.5" x14ac:dyDescent="0.3">
      <c r="A37" s="20">
        <v>34</v>
      </c>
      <c r="B37" s="34" t="s">
        <v>126</v>
      </c>
      <c r="C37" s="34" t="s">
        <v>127</v>
      </c>
      <c r="D37" s="34" t="s">
        <v>128</v>
      </c>
      <c r="E37" s="19" t="s">
        <v>25</v>
      </c>
      <c r="F37" s="20">
        <v>1</v>
      </c>
      <c r="G37" s="21" t="s">
        <v>8</v>
      </c>
      <c r="H37" s="36">
        <v>11</v>
      </c>
    </row>
    <row r="38" spans="1:8" ht="19.5" x14ac:dyDescent="0.3">
      <c r="A38" s="20">
        <v>34</v>
      </c>
      <c r="B38" s="34" t="s">
        <v>129</v>
      </c>
      <c r="C38" s="34" t="s">
        <v>130</v>
      </c>
      <c r="D38" s="34" t="s">
        <v>131</v>
      </c>
      <c r="E38" s="19" t="s">
        <v>25</v>
      </c>
      <c r="F38" s="20">
        <v>1</v>
      </c>
      <c r="G38" s="21" t="s">
        <v>8</v>
      </c>
      <c r="H38" s="36">
        <v>4</v>
      </c>
    </row>
    <row r="39" spans="1:8" ht="19.5" x14ac:dyDescent="0.3">
      <c r="A39" s="20">
        <v>34</v>
      </c>
      <c r="B39" s="34" t="s">
        <v>132</v>
      </c>
      <c r="C39" s="34" t="s">
        <v>133</v>
      </c>
      <c r="D39" s="34" t="s">
        <v>134</v>
      </c>
      <c r="E39" s="19" t="s">
        <v>25</v>
      </c>
      <c r="F39" s="20">
        <v>1</v>
      </c>
      <c r="G39" s="21" t="s">
        <v>8</v>
      </c>
      <c r="H39" s="36">
        <v>11</v>
      </c>
    </row>
    <row r="40" spans="1:8" ht="19.5" x14ac:dyDescent="0.3">
      <c r="A40" s="20">
        <v>34</v>
      </c>
      <c r="B40" s="34" t="s">
        <v>135</v>
      </c>
      <c r="C40" s="34" t="s">
        <v>136</v>
      </c>
      <c r="D40" s="34" t="s">
        <v>137</v>
      </c>
      <c r="E40" s="19" t="s">
        <v>25</v>
      </c>
      <c r="F40" s="20">
        <v>1</v>
      </c>
      <c r="G40" s="21" t="s">
        <v>8</v>
      </c>
      <c r="H40" s="36">
        <v>4</v>
      </c>
    </row>
    <row r="41" spans="1:8" ht="19.5" x14ac:dyDescent="0.3">
      <c r="A41" s="20">
        <v>34</v>
      </c>
      <c r="B41" s="34" t="s">
        <v>138</v>
      </c>
      <c r="C41" s="34" t="s">
        <v>139</v>
      </c>
      <c r="D41" s="34" t="s">
        <v>140</v>
      </c>
      <c r="E41" s="19" t="s">
        <v>25</v>
      </c>
      <c r="F41" s="20">
        <v>1</v>
      </c>
      <c r="G41" s="21" t="s">
        <v>8</v>
      </c>
      <c r="H41" s="36">
        <v>11</v>
      </c>
    </row>
    <row r="42" spans="1:8" ht="19.5" x14ac:dyDescent="0.3">
      <c r="A42" s="20">
        <v>34</v>
      </c>
      <c r="B42" s="34" t="s">
        <v>141</v>
      </c>
      <c r="C42" s="34" t="s">
        <v>142</v>
      </c>
      <c r="D42" s="34" t="s">
        <v>143</v>
      </c>
      <c r="E42" s="19" t="s">
        <v>25</v>
      </c>
      <c r="F42" s="20">
        <v>1</v>
      </c>
      <c r="G42" s="21" t="s">
        <v>8</v>
      </c>
      <c r="H42" s="37">
        <v>12</v>
      </c>
    </row>
    <row r="43" spans="1:8" ht="19.5" x14ac:dyDescent="0.3">
      <c r="A43" s="20">
        <v>34</v>
      </c>
      <c r="B43" s="34" t="s">
        <v>144</v>
      </c>
      <c r="C43" s="34" t="s">
        <v>145</v>
      </c>
      <c r="D43" s="34" t="s">
        <v>146</v>
      </c>
      <c r="E43" s="19" t="s">
        <v>25</v>
      </c>
      <c r="F43" s="20">
        <v>1</v>
      </c>
      <c r="G43" s="21" t="s">
        <v>8</v>
      </c>
      <c r="H43" s="37">
        <v>12</v>
      </c>
    </row>
    <row r="44" spans="1:8" ht="19.5" x14ac:dyDescent="0.3">
      <c r="A44" s="20">
        <v>34</v>
      </c>
      <c r="B44" s="34" t="s">
        <v>147</v>
      </c>
      <c r="C44" s="34" t="s">
        <v>148</v>
      </c>
      <c r="D44" s="34" t="s">
        <v>149</v>
      </c>
      <c r="E44" s="19" t="s">
        <v>25</v>
      </c>
      <c r="F44" s="20">
        <v>1</v>
      </c>
      <c r="G44" s="21" t="s">
        <v>8</v>
      </c>
      <c r="H44" s="37">
        <v>12</v>
      </c>
    </row>
    <row r="45" spans="1:8" ht="19.5" x14ac:dyDescent="0.3">
      <c r="A45" s="20">
        <v>34</v>
      </c>
      <c r="B45" s="34" t="s">
        <v>150</v>
      </c>
      <c r="C45" s="34" t="s">
        <v>151</v>
      </c>
      <c r="D45" s="34" t="s">
        <v>152</v>
      </c>
      <c r="E45" s="19" t="s">
        <v>25</v>
      </c>
      <c r="F45" s="20">
        <v>1</v>
      </c>
      <c r="G45" s="21" t="s">
        <v>8</v>
      </c>
      <c r="H45" s="37">
        <v>12</v>
      </c>
    </row>
    <row r="46" spans="1:8" ht="19.5" x14ac:dyDescent="0.3">
      <c r="A46" s="20">
        <v>34</v>
      </c>
      <c r="B46" s="34" t="s">
        <v>153</v>
      </c>
      <c r="C46" s="34" t="s">
        <v>154</v>
      </c>
      <c r="D46" s="34" t="s">
        <v>155</v>
      </c>
      <c r="E46" s="19" t="s">
        <v>25</v>
      </c>
      <c r="F46" s="20">
        <v>1</v>
      </c>
      <c r="G46" s="21" t="s">
        <v>8</v>
      </c>
      <c r="H46" s="37">
        <v>12</v>
      </c>
    </row>
    <row r="47" spans="1:8" ht="19.5" x14ac:dyDescent="0.3">
      <c r="A47" s="20">
        <v>34</v>
      </c>
      <c r="B47" s="34" t="s">
        <v>156</v>
      </c>
      <c r="C47" s="34" t="s">
        <v>157</v>
      </c>
      <c r="D47" s="34" t="s">
        <v>158</v>
      </c>
      <c r="E47" s="19" t="s">
        <v>25</v>
      </c>
      <c r="F47" s="20">
        <v>1</v>
      </c>
      <c r="G47" s="21" t="s">
        <v>8</v>
      </c>
      <c r="H47" s="37">
        <v>12</v>
      </c>
    </row>
    <row r="48" spans="1:8" ht="19.5" x14ac:dyDescent="0.3">
      <c r="A48" s="20">
        <v>34</v>
      </c>
      <c r="B48" s="34" t="s">
        <v>159</v>
      </c>
      <c r="C48" s="34" t="s">
        <v>160</v>
      </c>
      <c r="D48" s="34" t="s">
        <v>161</v>
      </c>
      <c r="E48" s="19" t="s">
        <v>25</v>
      </c>
      <c r="F48" s="20">
        <v>1</v>
      </c>
      <c r="G48" s="21" t="s">
        <v>8</v>
      </c>
      <c r="H48" s="37">
        <v>12</v>
      </c>
    </row>
    <row r="49" spans="1:8" ht="19.5" x14ac:dyDescent="0.3">
      <c r="A49" s="20">
        <v>34</v>
      </c>
      <c r="B49" s="34" t="s">
        <v>162</v>
      </c>
      <c r="C49" s="34" t="s">
        <v>163</v>
      </c>
      <c r="D49" s="34" t="s">
        <v>164</v>
      </c>
      <c r="E49" s="19" t="s">
        <v>25</v>
      </c>
      <c r="F49" s="20">
        <v>1</v>
      </c>
      <c r="G49" s="21" t="s">
        <v>8</v>
      </c>
      <c r="H49" s="37">
        <v>12</v>
      </c>
    </row>
    <row r="50" spans="1:8" ht="19.5" x14ac:dyDescent="0.3">
      <c r="A50" s="20">
        <v>34</v>
      </c>
      <c r="B50" s="34" t="s">
        <v>165</v>
      </c>
      <c r="C50" s="34" t="s">
        <v>166</v>
      </c>
      <c r="D50" s="34" t="s">
        <v>167</v>
      </c>
      <c r="E50" s="19" t="s">
        <v>25</v>
      </c>
      <c r="F50" s="20">
        <v>1</v>
      </c>
      <c r="G50" s="21" t="s">
        <v>8</v>
      </c>
      <c r="H50" s="37">
        <v>12</v>
      </c>
    </row>
    <row r="51" spans="1:8" ht="19.5" x14ac:dyDescent="0.3">
      <c r="A51" s="20">
        <v>34</v>
      </c>
      <c r="B51" s="34" t="s">
        <v>168</v>
      </c>
      <c r="C51" s="34" t="s">
        <v>169</v>
      </c>
      <c r="D51" s="34" t="s">
        <v>170</v>
      </c>
      <c r="E51" s="19" t="s">
        <v>25</v>
      </c>
      <c r="F51" s="20">
        <v>1</v>
      </c>
      <c r="G51" s="21" t="s">
        <v>8</v>
      </c>
      <c r="H51" s="37">
        <v>12</v>
      </c>
    </row>
    <row r="52" spans="1:8" ht="19.5" x14ac:dyDescent="0.3">
      <c r="A52" s="20">
        <v>34</v>
      </c>
      <c r="B52" s="34" t="s">
        <v>171</v>
      </c>
      <c r="C52" s="34" t="s">
        <v>172</v>
      </c>
      <c r="D52" s="34" t="s">
        <v>173</v>
      </c>
      <c r="E52" s="19" t="s">
        <v>25</v>
      </c>
      <c r="F52" s="20">
        <v>1</v>
      </c>
      <c r="G52" s="21" t="s">
        <v>8</v>
      </c>
      <c r="H52" s="37">
        <v>12</v>
      </c>
    </row>
    <row r="53" spans="1:8" ht="19.5" x14ac:dyDescent="0.3">
      <c r="A53" s="20">
        <v>34</v>
      </c>
      <c r="B53" s="34" t="s">
        <v>174</v>
      </c>
      <c r="C53" s="34" t="s">
        <v>175</v>
      </c>
      <c r="D53" s="34" t="s">
        <v>176</v>
      </c>
      <c r="E53" s="19" t="s">
        <v>25</v>
      </c>
      <c r="F53" s="20">
        <v>1</v>
      </c>
      <c r="G53" s="21" t="s">
        <v>8</v>
      </c>
      <c r="H53" s="37">
        <v>12</v>
      </c>
    </row>
    <row r="54" spans="1:8" ht="19.5" x14ac:dyDescent="0.3">
      <c r="A54" s="20">
        <v>34</v>
      </c>
      <c r="B54" s="34" t="s">
        <v>177</v>
      </c>
      <c r="C54" s="34" t="s">
        <v>178</v>
      </c>
      <c r="D54" s="34" t="s">
        <v>179</v>
      </c>
      <c r="E54" s="19" t="s">
        <v>25</v>
      </c>
      <c r="F54" s="20">
        <v>1</v>
      </c>
      <c r="G54" s="21" t="s">
        <v>8</v>
      </c>
      <c r="H54" s="37">
        <v>12</v>
      </c>
    </row>
    <row r="55" spans="1:8" ht="19.5" x14ac:dyDescent="0.3">
      <c r="A55" s="20">
        <v>34</v>
      </c>
      <c r="B55" s="34" t="s">
        <v>180</v>
      </c>
      <c r="C55" s="34" t="s">
        <v>181</v>
      </c>
      <c r="D55" s="34" t="s">
        <v>182</v>
      </c>
      <c r="E55" s="19" t="s">
        <v>25</v>
      </c>
      <c r="F55" s="20">
        <v>1</v>
      </c>
      <c r="G55" s="21" t="s">
        <v>8</v>
      </c>
      <c r="H55" s="37">
        <v>12</v>
      </c>
    </row>
    <row r="56" spans="1:8" ht="19.5" x14ac:dyDescent="0.3">
      <c r="A56" s="20">
        <v>34</v>
      </c>
      <c r="B56" s="34" t="s">
        <v>22</v>
      </c>
      <c r="C56" s="34" t="s">
        <v>23</v>
      </c>
      <c r="D56" s="34" t="s">
        <v>24</v>
      </c>
      <c r="E56" s="19" t="s">
        <v>25</v>
      </c>
      <c r="F56" s="20">
        <v>1</v>
      </c>
      <c r="G56" s="21" t="s">
        <v>8</v>
      </c>
      <c r="H56" s="37">
        <v>12</v>
      </c>
    </row>
    <row r="57" spans="1:8" ht="19.5" x14ac:dyDescent="0.3">
      <c r="A57" s="20">
        <v>34</v>
      </c>
      <c r="B57" s="34" t="s">
        <v>183</v>
      </c>
      <c r="C57" s="34" t="s">
        <v>184</v>
      </c>
      <c r="D57" s="34" t="s">
        <v>185</v>
      </c>
      <c r="E57" s="19" t="s">
        <v>25</v>
      </c>
      <c r="F57" s="20">
        <v>1</v>
      </c>
      <c r="G57" s="21" t="s">
        <v>8</v>
      </c>
      <c r="H57" s="37">
        <v>12</v>
      </c>
    </row>
    <row r="58" spans="1:8" ht="19.5" x14ac:dyDescent="0.3">
      <c r="A58" s="20">
        <v>34</v>
      </c>
      <c r="B58" s="34" t="s">
        <v>186</v>
      </c>
      <c r="C58" s="34" t="s">
        <v>187</v>
      </c>
      <c r="D58" s="34" t="s">
        <v>188</v>
      </c>
      <c r="E58" s="19" t="s">
        <v>25</v>
      </c>
      <c r="F58" s="20">
        <v>1</v>
      </c>
      <c r="G58" s="21" t="s">
        <v>8</v>
      </c>
      <c r="H58" s="37">
        <v>12</v>
      </c>
    </row>
    <row r="59" spans="1:8" ht="19.5" x14ac:dyDescent="0.3">
      <c r="A59" s="20">
        <v>34</v>
      </c>
      <c r="B59" s="34" t="s">
        <v>189</v>
      </c>
      <c r="C59" s="34" t="s">
        <v>190</v>
      </c>
      <c r="D59" s="34" t="s">
        <v>191</v>
      </c>
      <c r="E59" s="19" t="s">
        <v>25</v>
      </c>
      <c r="F59" s="20">
        <v>1</v>
      </c>
      <c r="G59" s="21" t="s">
        <v>8</v>
      </c>
      <c r="H59" s="37">
        <v>12</v>
      </c>
    </row>
    <row r="60" spans="1:8" ht="19.5" x14ac:dyDescent="0.3">
      <c r="A60" s="20">
        <v>34</v>
      </c>
      <c r="B60" s="34" t="s">
        <v>192</v>
      </c>
      <c r="C60" s="34" t="s">
        <v>193</v>
      </c>
      <c r="D60" s="34" t="s">
        <v>185</v>
      </c>
      <c r="E60" s="19" t="s">
        <v>25</v>
      </c>
      <c r="F60" s="20">
        <v>1</v>
      </c>
      <c r="G60" s="21" t="s">
        <v>8</v>
      </c>
      <c r="H60" s="37">
        <v>12</v>
      </c>
    </row>
    <row r="61" spans="1:8" ht="19.5" x14ac:dyDescent="0.3">
      <c r="A61" s="20">
        <v>34</v>
      </c>
      <c r="B61" s="34" t="s">
        <v>194</v>
      </c>
      <c r="C61" s="34" t="s">
        <v>195</v>
      </c>
      <c r="D61" s="34" t="s">
        <v>196</v>
      </c>
      <c r="E61" s="19" t="s">
        <v>25</v>
      </c>
      <c r="F61" s="20">
        <v>1</v>
      </c>
      <c r="G61" s="21" t="s">
        <v>8</v>
      </c>
      <c r="H61" s="37">
        <v>12</v>
      </c>
    </row>
    <row r="62" spans="1:8" ht="19.5" x14ac:dyDescent="0.3">
      <c r="A62" s="20">
        <v>34</v>
      </c>
      <c r="B62" s="34" t="s">
        <v>197</v>
      </c>
      <c r="C62" s="34" t="s">
        <v>198</v>
      </c>
      <c r="D62" s="34" t="s">
        <v>199</v>
      </c>
      <c r="E62" s="19" t="s">
        <v>25</v>
      </c>
      <c r="F62" s="20">
        <v>1</v>
      </c>
      <c r="G62" s="21" t="s">
        <v>8</v>
      </c>
      <c r="H62" s="37">
        <v>12</v>
      </c>
    </row>
    <row r="63" spans="1:8" ht="19.5" x14ac:dyDescent="0.3">
      <c r="A63" s="20">
        <v>34</v>
      </c>
      <c r="B63" s="34" t="s">
        <v>200</v>
      </c>
      <c r="C63" s="34" t="s">
        <v>201</v>
      </c>
      <c r="D63" s="34" t="s">
        <v>202</v>
      </c>
      <c r="E63" s="19" t="s">
        <v>25</v>
      </c>
      <c r="F63" s="20">
        <v>1</v>
      </c>
      <c r="G63" s="21" t="s">
        <v>8</v>
      </c>
      <c r="H63" s="37">
        <v>12</v>
      </c>
    </row>
    <row r="64" spans="1:8" ht="19.5" x14ac:dyDescent="0.3">
      <c r="A64" s="20">
        <v>34</v>
      </c>
      <c r="B64" s="34" t="s">
        <v>203</v>
      </c>
      <c r="C64" s="34" t="s">
        <v>204</v>
      </c>
      <c r="D64" s="34" t="s">
        <v>205</v>
      </c>
      <c r="E64" s="19" t="s">
        <v>25</v>
      </c>
      <c r="F64" s="20">
        <v>1</v>
      </c>
      <c r="G64" s="21" t="s">
        <v>8</v>
      </c>
      <c r="H64" s="37">
        <v>12</v>
      </c>
    </row>
    <row r="65" spans="1:8" ht="19.5" x14ac:dyDescent="0.3">
      <c r="A65" s="20">
        <v>34</v>
      </c>
      <c r="B65" s="34" t="s">
        <v>206</v>
      </c>
      <c r="C65" s="34" t="s">
        <v>207</v>
      </c>
      <c r="D65" s="34" t="s">
        <v>208</v>
      </c>
      <c r="E65" s="19" t="s">
        <v>25</v>
      </c>
      <c r="F65" s="20">
        <v>1</v>
      </c>
      <c r="G65" s="21" t="s">
        <v>8</v>
      </c>
      <c r="H65" s="37">
        <v>12</v>
      </c>
    </row>
    <row r="66" spans="1:8" ht="19.5" x14ac:dyDescent="0.3">
      <c r="A66" s="20">
        <v>34</v>
      </c>
      <c r="B66" s="34" t="s">
        <v>209</v>
      </c>
      <c r="C66" s="34" t="s">
        <v>210</v>
      </c>
      <c r="D66" s="34" t="s">
        <v>211</v>
      </c>
      <c r="E66" s="19" t="s">
        <v>25</v>
      </c>
      <c r="F66" s="20">
        <v>1</v>
      </c>
      <c r="G66" s="21" t="s">
        <v>8</v>
      </c>
      <c r="H66" s="37">
        <v>12</v>
      </c>
    </row>
    <row r="67" spans="1:8" ht="19.5" x14ac:dyDescent="0.3">
      <c r="A67" s="20">
        <v>34</v>
      </c>
      <c r="B67" s="34" t="s">
        <v>212</v>
      </c>
      <c r="C67" s="34" t="s">
        <v>213</v>
      </c>
      <c r="D67" s="34" t="s">
        <v>214</v>
      </c>
      <c r="E67" s="19" t="s">
        <v>25</v>
      </c>
      <c r="F67" s="20">
        <v>1</v>
      </c>
      <c r="G67" s="21" t="s">
        <v>8</v>
      </c>
      <c r="H67" s="37">
        <v>12</v>
      </c>
    </row>
    <row r="68" spans="1:8" ht="19.5" x14ac:dyDescent="0.3">
      <c r="A68" s="20">
        <v>34</v>
      </c>
      <c r="B68" s="34" t="s">
        <v>215</v>
      </c>
      <c r="C68" s="34" t="s">
        <v>216</v>
      </c>
      <c r="D68" s="34" t="s">
        <v>217</v>
      </c>
      <c r="E68" s="19" t="s">
        <v>25</v>
      </c>
      <c r="F68" s="20">
        <v>1</v>
      </c>
      <c r="G68" s="21" t="s">
        <v>8</v>
      </c>
      <c r="H68" s="37">
        <v>12</v>
      </c>
    </row>
    <row r="69" spans="1:8" ht="19.5" x14ac:dyDescent="0.3">
      <c r="A69" s="20">
        <v>34</v>
      </c>
      <c r="B69" s="34" t="s">
        <v>218</v>
      </c>
      <c r="C69" s="34" t="s">
        <v>219</v>
      </c>
      <c r="D69" s="34" t="s">
        <v>220</v>
      </c>
      <c r="E69" s="19" t="s">
        <v>25</v>
      </c>
      <c r="F69" s="20">
        <v>1</v>
      </c>
      <c r="G69" s="21" t="s">
        <v>8</v>
      </c>
      <c r="H69" s="36">
        <v>8</v>
      </c>
    </row>
    <row r="70" spans="1:8" ht="19.5" x14ac:dyDescent="0.3">
      <c r="A70" s="20">
        <v>34</v>
      </c>
      <c r="B70" s="34" t="s">
        <v>221</v>
      </c>
      <c r="C70" s="34" t="s">
        <v>222</v>
      </c>
      <c r="D70" s="34" t="s">
        <v>223</v>
      </c>
      <c r="E70" s="19" t="s">
        <v>25</v>
      </c>
      <c r="F70" s="20">
        <v>1</v>
      </c>
      <c r="G70" s="21" t="s">
        <v>8</v>
      </c>
      <c r="H70" s="36">
        <v>8</v>
      </c>
    </row>
    <row r="71" spans="1:8" ht="19.5" x14ac:dyDescent="0.3">
      <c r="A71" s="20">
        <v>34</v>
      </c>
      <c r="B71" s="34" t="s">
        <v>224</v>
      </c>
      <c r="C71" s="34" t="s">
        <v>225</v>
      </c>
      <c r="D71" s="34" t="s">
        <v>226</v>
      </c>
      <c r="E71" s="19" t="s">
        <v>25</v>
      </c>
      <c r="F71" s="20">
        <v>1</v>
      </c>
      <c r="G71" s="21" t="s">
        <v>8</v>
      </c>
      <c r="H71" s="36">
        <v>8</v>
      </c>
    </row>
    <row r="72" spans="1:8" ht="19.5" x14ac:dyDescent="0.3">
      <c r="A72" s="20">
        <v>34</v>
      </c>
      <c r="B72" s="34" t="s">
        <v>227</v>
      </c>
      <c r="C72" s="34" t="s">
        <v>228</v>
      </c>
      <c r="D72" s="34" t="s">
        <v>229</v>
      </c>
      <c r="E72" s="19" t="s">
        <v>25</v>
      </c>
      <c r="F72" s="20">
        <v>1</v>
      </c>
      <c r="G72" s="21" t="s">
        <v>8</v>
      </c>
      <c r="H72" s="36">
        <v>8</v>
      </c>
    </row>
    <row r="73" spans="1:8" ht="19.5" x14ac:dyDescent="0.3">
      <c r="A73" s="20">
        <v>34</v>
      </c>
      <c r="B73" s="34" t="s">
        <v>230</v>
      </c>
      <c r="C73" s="34" t="s">
        <v>231</v>
      </c>
      <c r="D73" s="34" t="s">
        <v>232</v>
      </c>
      <c r="E73" s="19" t="s">
        <v>25</v>
      </c>
      <c r="F73" s="20">
        <v>1</v>
      </c>
      <c r="G73" s="21" t="s">
        <v>8</v>
      </c>
      <c r="H73" s="36">
        <v>8</v>
      </c>
    </row>
    <row r="74" spans="1:8" ht="19.5" x14ac:dyDescent="0.3">
      <c r="A74" s="20">
        <v>34</v>
      </c>
      <c r="B74" s="34" t="s">
        <v>233</v>
      </c>
      <c r="C74" s="34" t="s">
        <v>234</v>
      </c>
      <c r="D74" s="34" t="s">
        <v>235</v>
      </c>
      <c r="E74" s="19" t="s">
        <v>25</v>
      </c>
      <c r="F74" s="20">
        <v>1</v>
      </c>
      <c r="G74" s="21" t="s">
        <v>8</v>
      </c>
      <c r="H74" s="36">
        <v>8</v>
      </c>
    </row>
    <row r="75" spans="1:8" ht="19.5" x14ac:dyDescent="0.3">
      <c r="A75" s="20">
        <v>34</v>
      </c>
      <c r="B75" s="34" t="s">
        <v>236</v>
      </c>
      <c r="C75" s="34" t="s">
        <v>237</v>
      </c>
      <c r="D75" s="34" t="s">
        <v>238</v>
      </c>
      <c r="E75" s="19" t="s">
        <v>25</v>
      </c>
      <c r="F75" s="20">
        <v>1</v>
      </c>
      <c r="G75" s="21" t="s">
        <v>8</v>
      </c>
      <c r="H75" s="36">
        <v>8</v>
      </c>
    </row>
    <row r="76" spans="1:8" ht="19.5" x14ac:dyDescent="0.3">
      <c r="A76" s="20">
        <v>34</v>
      </c>
      <c r="B76" s="34" t="s">
        <v>239</v>
      </c>
      <c r="C76" s="34" t="s">
        <v>240</v>
      </c>
      <c r="D76" s="34" t="s">
        <v>241</v>
      </c>
      <c r="E76" s="19" t="s">
        <v>25</v>
      </c>
      <c r="F76" s="20">
        <v>1</v>
      </c>
      <c r="G76" s="21" t="s">
        <v>8</v>
      </c>
      <c r="H76" s="36">
        <v>8</v>
      </c>
    </row>
    <row r="77" spans="1:8" ht="19.5" x14ac:dyDescent="0.3">
      <c r="A77" s="20">
        <v>34</v>
      </c>
      <c r="B77" s="34" t="s">
        <v>242</v>
      </c>
      <c r="C77" s="34" t="s">
        <v>243</v>
      </c>
      <c r="D77" s="34" t="s">
        <v>244</v>
      </c>
      <c r="E77" s="19" t="s">
        <v>25</v>
      </c>
      <c r="F77" s="20">
        <v>1</v>
      </c>
      <c r="G77" s="21" t="s">
        <v>8</v>
      </c>
      <c r="H77" s="36">
        <v>8</v>
      </c>
    </row>
    <row r="78" spans="1:8" ht="19.5" x14ac:dyDescent="0.3">
      <c r="A78" s="20">
        <v>34</v>
      </c>
      <c r="B78" s="34" t="s">
        <v>245</v>
      </c>
      <c r="C78" s="34" t="s">
        <v>246</v>
      </c>
      <c r="D78" s="34" t="s">
        <v>247</v>
      </c>
      <c r="E78" s="19" t="s">
        <v>25</v>
      </c>
      <c r="F78" s="20">
        <v>1</v>
      </c>
      <c r="G78" s="21" t="s">
        <v>8</v>
      </c>
      <c r="H78" s="36">
        <v>8</v>
      </c>
    </row>
    <row r="79" spans="1:8" ht="19.5" x14ac:dyDescent="0.3">
      <c r="A79" s="20">
        <v>34</v>
      </c>
      <c r="B79" s="34" t="s">
        <v>248</v>
      </c>
      <c r="C79" s="34" t="s">
        <v>249</v>
      </c>
      <c r="D79" s="34" t="s">
        <v>250</v>
      </c>
      <c r="E79" s="19" t="s">
        <v>25</v>
      </c>
      <c r="F79" s="20">
        <v>1</v>
      </c>
      <c r="G79" s="21" t="s">
        <v>8</v>
      </c>
      <c r="H79" s="36">
        <v>8</v>
      </c>
    </row>
    <row r="80" spans="1:8" ht="19.5" x14ac:dyDescent="0.3">
      <c r="A80" s="20">
        <v>34</v>
      </c>
      <c r="B80" s="34" t="s">
        <v>251</v>
      </c>
      <c r="C80" s="34" t="s">
        <v>252</v>
      </c>
      <c r="D80" s="34" t="s">
        <v>253</v>
      </c>
      <c r="E80" s="19" t="s">
        <v>25</v>
      </c>
      <c r="F80" s="20">
        <v>1</v>
      </c>
      <c r="G80" s="21" t="s">
        <v>8</v>
      </c>
      <c r="H80" s="36">
        <v>8</v>
      </c>
    </row>
    <row r="81" spans="1:8" ht="19.5" x14ac:dyDescent="0.3">
      <c r="A81" s="20">
        <v>34</v>
      </c>
      <c r="B81" s="34" t="s">
        <v>254</v>
      </c>
      <c r="C81" s="34" t="s">
        <v>255</v>
      </c>
      <c r="D81" s="34" t="s">
        <v>256</v>
      </c>
      <c r="E81" s="19" t="s">
        <v>25</v>
      </c>
      <c r="F81" s="20">
        <v>1</v>
      </c>
      <c r="G81" s="21" t="s">
        <v>8</v>
      </c>
      <c r="H81" s="36">
        <v>8</v>
      </c>
    </row>
    <row r="82" spans="1:8" ht="19.5" x14ac:dyDescent="0.3">
      <c r="A82" s="20">
        <v>34</v>
      </c>
      <c r="B82" s="34" t="s">
        <v>257</v>
      </c>
      <c r="C82" s="34" t="s">
        <v>258</v>
      </c>
      <c r="D82" s="34" t="s">
        <v>259</v>
      </c>
      <c r="E82" s="19" t="s">
        <v>25</v>
      </c>
      <c r="F82" s="20">
        <v>1</v>
      </c>
      <c r="G82" s="21" t="s">
        <v>8</v>
      </c>
      <c r="H82" s="36">
        <v>8</v>
      </c>
    </row>
    <row r="83" spans="1:8" ht="19.5" x14ac:dyDescent="0.3">
      <c r="A83" s="20">
        <v>34</v>
      </c>
      <c r="B83" s="34" t="s">
        <v>260</v>
      </c>
      <c r="C83" s="34" t="s">
        <v>261</v>
      </c>
      <c r="D83" s="34" t="s">
        <v>262</v>
      </c>
      <c r="E83" s="19" t="s">
        <v>25</v>
      </c>
      <c r="F83" s="20">
        <v>1</v>
      </c>
      <c r="G83" s="21" t="s">
        <v>8</v>
      </c>
      <c r="H83" s="36">
        <v>8</v>
      </c>
    </row>
    <row r="84" spans="1:8" ht="19.5" x14ac:dyDescent="0.3">
      <c r="A84" s="20">
        <v>34</v>
      </c>
      <c r="B84" s="34" t="s">
        <v>263</v>
      </c>
      <c r="C84" s="34" t="s">
        <v>264</v>
      </c>
      <c r="D84" s="34" t="s">
        <v>265</v>
      </c>
      <c r="E84" s="19" t="s">
        <v>25</v>
      </c>
      <c r="F84" s="20">
        <v>1</v>
      </c>
      <c r="G84" s="21" t="s">
        <v>8</v>
      </c>
      <c r="H84" s="36">
        <v>8</v>
      </c>
    </row>
    <row r="85" spans="1:8" ht="19.5" x14ac:dyDescent="0.3">
      <c r="A85" s="20">
        <v>34</v>
      </c>
      <c r="B85" s="34" t="s">
        <v>266</v>
      </c>
      <c r="C85" s="34" t="s">
        <v>267</v>
      </c>
      <c r="D85" s="34" t="s">
        <v>268</v>
      </c>
      <c r="E85" s="19" t="s">
        <v>25</v>
      </c>
      <c r="F85" s="20">
        <v>1</v>
      </c>
      <c r="G85" s="21" t="s">
        <v>8</v>
      </c>
      <c r="H85" s="36">
        <v>8</v>
      </c>
    </row>
    <row r="86" spans="1:8" ht="19.5" x14ac:dyDescent="0.3">
      <c r="A86" s="20">
        <v>34</v>
      </c>
      <c r="B86" s="34" t="s">
        <v>269</v>
      </c>
      <c r="C86" s="34" t="s">
        <v>270</v>
      </c>
      <c r="D86" s="34" t="s">
        <v>271</v>
      </c>
      <c r="E86" s="19" t="s">
        <v>25</v>
      </c>
      <c r="F86" s="20">
        <v>1</v>
      </c>
      <c r="G86" s="21" t="s">
        <v>8</v>
      </c>
      <c r="H86" s="36">
        <v>8</v>
      </c>
    </row>
    <row r="87" spans="1:8" ht="19.5" x14ac:dyDescent="0.3">
      <c r="A87" s="20">
        <v>34</v>
      </c>
      <c r="B87" s="34" t="s">
        <v>272</v>
      </c>
      <c r="C87" s="34" t="s">
        <v>273</v>
      </c>
      <c r="D87" s="34" t="s">
        <v>274</v>
      </c>
      <c r="E87" s="19" t="s">
        <v>25</v>
      </c>
      <c r="F87" s="20">
        <v>1</v>
      </c>
      <c r="G87" s="21" t="s">
        <v>8</v>
      </c>
      <c r="H87" s="36">
        <v>8</v>
      </c>
    </row>
    <row r="88" spans="1:8" ht="19.5" x14ac:dyDescent="0.3">
      <c r="A88" s="20">
        <v>34</v>
      </c>
      <c r="B88" s="34" t="s">
        <v>275</v>
      </c>
      <c r="C88" s="34" t="s">
        <v>276</v>
      </c>
      <c r="D88" s="34" t="s">
        <v>277</v>
      </c>
      <c r="E88" s="19" t="s">
        <v>25</v>
      </c>
      <c r="F88" s="20">
        <v>1</v>
      </c>
      <c r="G88" s="21" t="s">
        <v>8</v>
      </c>
      <c r="H88" s="36">
        <v>8</v>
      </c>
    </row>
    <row r="89" spans="1:8" ht="19.5" x14ac:dyDescent="0.3">
      <c r="A89" s="20">
        <v>34</v>
      </c>
      <c r="B89" s="34" t="s">
        <v>278</v>
      </c>
      <c r="C89" s="34" t="s">
        <v>279</v>
      </c>
      <c r="D89" s="34" t="s">
        <v>280</v>
      </c>
      <c r="E89" s="19" t="s">
        <v>25</v>
      </c>
      <c r="F89" s="20">
        <v>1</v>
      </c>
      <c r="G89" s="21" t="s">
        <v>8</v>
      </c>
      <c r="H89" s="36">
        <v>8</v>
      </c>
    </row>
    <row r="90" spans="1:8" ht="19.5" x14ac:dyDescent="0.3">
      <c r="A90" s="20">
        <v>34</v>
      </c>
      <c r="B90" s="34" t="s">
        <v>281</v>
      </c>
      <c r="C90" s="34" t="s">
        <v>282</v>
      </c>
      <c r="D90" s="34" t="s">
        <v>283</v>
      </c>
      <c r="E90" s="19" t="s">
        <v>25</v>
      </c>
      <c r="F90" s="20">
        <v>1</v>
      </c>
      <c r="G90" s="21" t="s">
        <v>8</v>
      </c>
      <c r="H90" s="36">
        <v>8</v>
      </c>
    </row>
    <row r="91" spans="1:8" ht="19.5" x14ac:dyDescent="0.3">
      <c r="A91" s="20">
        <v>34</v>
      </c>
      <c r="B91" s="34" t="s">
        <v>284</v>
      </c>
      <c r="C91" s="34" t="s">
        <v>285</v>
      </c>
      <c r="D91" s="34" t="s">
        <v>286</v>
      </c>
      <c r="E91" s="19" t="s">
        <v>25</v>
      </c>
      <c r="F91" s="20">
        <v>1</v>
      </c>
      <c r="G91" s="21" t="s">
        <v>8</v>
      </c>
      <c r="H91" s="36">
        <v>8</v>
      </c>
    </row>
    <row r="92" spans="1:8" ht="19.5" x14ac:dyDescent="0.3">
      <c r="A92" s="20">
        <v>34</v>
      </c>
      <c r="B92" s="34" t="s">
        <v>287</v>
      </c>
      <c r="C92" s="34" t="s">
        <v>288</v>
      </c>
      <c r="D92" s="34" t="s">
        <v>289</v>
      </c>
      <c r="E92" s="19" t="s">
        <v>25</v>
      </c>
      <c r="F92" s="20">
        <v>1</v>
      </c>
      <c r="G92" s="21" t="s">
        <v>8</v>
      </c>
      <c r="H92" s="36">
        <v>8</v>
      </c>
    </row>
    <row r="93" spans="1:8" ht="19.5" x14ac:dyDescent="0.3">
      <c r="A93" s="20">
        <v>34</v>
      </c>
      <c r="B93" s="34" t="s">
        <v>290</v>
      </c>
      <c r="C93" s="34" t="s">
        <v>291</v>
      </c>
      <c r="D93" s="34" t="s">
        <v>292</v>
      </c>
      <c r="E93" s="19" t="s">
        <v>25</v>
      </c>
      <c r="F93" s="20">
        <v>1</v>
      </c>
      <c r="G93" s="21" t="s">
        <v>8</v>
      </c>
      <c r="H93" s="36">
        <v>8</v>
      </c>
    </row>
    <row r="94" spans="1:8" ht="19.5" x14ac:dyDescent="0.3">
      <c r="A94" s="20">
        <v>34</v>
      </c>
      <c r="B94" s="34" t="s">
        <v>293</v>
      </c>
      <c r="C94" s="34" t="s">
        <v>294</v>
      </c>
      <c r="D94" s="34" t="s">
        <v>295</v>
      </c>
      <c r="E94" s="19" t="s">
        <v>25</v>
      </c>
      <c r="F94" s="20">
        <v>1</v>
      </c>
      <c r="G94" s="21" t="s">
        <v>8</v>
      </c>
      <c r="H94" s="36">
        <v>8</v>
      </c>
    </row>
    <row r="95" spans="1:8" ht="19.5" x14ac:dyDescent="0.3">
      <c r="A95" s="20">
        <v>34</v>
      </c>
      <c r="B95" s="34" t="s">
        <v>296</v>
      </c>
      <c r="C95" s="34" t="s">
        <v>297</v>
      </c>
      <c r="D95" s="34" t="s">
        <v>298</v>
      </c>
      <c r="E95" s="19" t="s">
        <v>25</v>
      </c>
      <c r="F95" s="20">
        <v>1</v>
      </c>
      <c r="G95" s="21" t="s">
        <v>8</v>
      </c>
      <c r="H95" s="36">
        <v>8</v>
      </c>
    </row>
    <row r="96" spans="1:8" ht="19.5" x14ac:dyDescent="0.3">
      <c r="A96" s="20">
        <v>34</v>
      </c>
      <c r="B96" s="34" t="s">
        <v>299</v>
      </c>
      <c r="C96" s="34" t="s">
        <v>300</v>
      </c>
      <c r="D96" s="34" t="s">
        <v>301</v>
      </c>
      <c r="E96" s="19" t="s">
        <v>25</v>
      </c>
      <c r="F96" s="20">
        <v>1</v>
      </c>
      <c r="G96" s="21" t="s">
        <v>8</v>
      </c>
      <c r="H96" s="36">
        <v>8</v>
      </c>
    </row>
    <row r="97" spans="1:8" ht="19.5" x14ac:dyDescent="0.3">
      <c r="A97" s="20">
        <v>34</v>
      </c>
      <c r="B97" s="34" t="s">
        <v>302</v>
      </c>
      <c r="C97" s="34" t="s">
        <v>303</v>
      </c>
      <c r="D97" s="34" t="s">
        <v>304</v>
      </c>
      <c r="E97" s="19" t="s">
        <v>25</v>
      </c>
      <c r="F97" s="20">
        <v>1</v>
      </c>
      <c r="G97" s="21" t="s">
        <v>8</v>
      </c>
      <c r="H97" s="36">
        <v>8</v>
      </c>
    </row>
    <row r="98" spans="1:8" ht="19.5" x14ac:dyDescent="0.3">
      <c r="A98" s="20">
        <v>34</v>
      </c>
      <c r="B98" s="34" t="s">
        <v>305</v>
      </c>
      <c r="C98" s="34" t="s">
        <v>306</v>
      </c>
      <c r="D98" s="34" t="s">
        <v>307</v>
      </c>
      <c r="E98" s="19" t="s">
        <v>25</v>
      </c>
      <c r="F98" s="20">
        <v>1</v>
      </c>
      <c r="G98" s="21" t="s">
        <v>8</v>
      </c>
      <c r="H98" s="36">
        <v>8</v>
      </c>
    </row>
  </sheetData>
  <conditionalFormatting sqref="H2">
    <cfRule type="duplicateValues" dxfId="1" priority="1069"/>
  </conditionalFormatting>
  <conditionalFormatting sqref="A1:I1 E2:G98 A2:A98">
    <cfRule type="duplicateValues" dxfId="0" priority="1070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8"/>
  <sheetViews>
    <sheetView workbookViewId="0">
      <selection activeCell="D5" sqref="D5"/>
    </sheetView>
  </sheetViews>
  <sheetFormatPr defaultRowHeight="15" x14ac:dyDescent="0.25"/>
  <cols>
    <col min="1" max="1" width="3.85546875" style="6" customWidth="1"/>
    <col min="2" max="2" width="18" style="7" customWidth="1"/>
    <col min="3" max="3" width="29.28515625" style="7" customWidth="1"/>
    <col min="4" max="4" width="5.7109375" style="7" customWidth="1"/>
    <col min="5" max="5" width="17.5703125" style="7" customWidth="1"/>
    <col min="6" max="6" width="4.140625" style="6" customWidth="1"/>
    <col min="7" max="16384" width="9.140625" style="6"/>
  </cols>
  <sheetData>
    <row r="2" spans="2:9" s="4" customFormat="1" ht="19.5" x14ac:dyDescent="0.25">
      <c r="B2" s="10" t="s">
        <v>9</v>
      </c>
      <c r="C2" s="2" t="s">
        <v>12</v>
      </c>
      <c r="D2" s="2" t="s">
        <v>18</v>
      </c>
      <c r="E2" s="3" t="s">
        <v>10</v>
      </c>
    </row>
    <row r="3" spans="2:9" s="13" customFormat="1" ht="19.5" x14ac:dyDescent="0.3">
      <c r="B3" s="17" t="s">
        <v>16</v>
      </c>
      <c r="C3" s="14" t="s">
        <v>13</v>
      </c>
      <c r="D3" s="36">
        <v>4</v>
      </c>
      <c r="E3" s="16">
        <v>20</v>
      </c>
    </row>
    <row r="4" spans="2:9" s="13" customFormat="1" ht="19.5" x14ac:dyDescent="0.3">
      <c r="B4" s="18"/>
      <c r="C4" s="14" t="s">
        <v>11</v>
      </c>
      <c r="D4" s="37">
        <v>12</v>
      </c>
      <c r="E4" s="16">
        <v>27</v>
      </c>
    </row>
    <row r="5" spans="2:9" s="13" customFormat="1" ht="19.5" x14ac:dyDescent="0.3">
      <c r="B5" s="31" t="s">
        <v>17</v>
      </c>
      <c r="C5" s="14" t="s">
        <v>15</v>
      </c>
      <c r="D5" s="36">
        <v>8</v>
      </c>
      <c r="E5" s="16">
        <v>30</v>
      </c>
    </row>
    <row r="6" spans="2:9" s="13" customFormat="1" ht="19.5" x14ac:dyDescent="0.3">
      <c r="B6" s="32"/>
      <c r="C6" s="14"/>
      <c r="D6" s="36"/>
      <c r="E6" s="16"/>
      <c r="H6" s="13">
        <f>97-E8</f>
        <v>0</v>
      </c>
      <c r="I6" s="13">
        <f>353/23</f>
        <v>15.347826086956522</v>
      </c>
    </row>
    <row r="7" spans="2:9" s="13" customFormat="1" ht="19.5" x14ac:dyDescent="0.3">
      <c r="B7" s="33"/>
      <c r="C7" s="14" t="s">
        <v>14</v>
      </c>
      <c r="D7" s="36">
        <v>11</v>
      </c>
      <c r="E7" s="16">
        <v>20</v>
      </c>
    </row>
    <row r="8" spans="2:9" ht="19.5" x14ac:dyDescent="0.3">
      <c r="B8" s="12"/>
      <c r="C8" s="5">
        <f>COUNTA(C3:C7)</f>
        <v>4</v>
      </c>
      <c r="D8" s="5"/>
      <c r="E8" s="11">
        <f>SUM(E3:E7)</f>
        <v>97</v>
      </c>
    </row>
  </sheetData>
  <mergeCells count="1">
    <mergeCell ref="B5:B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Moksedul-IT</cp:lastModifiedBy>
  <dcterms:created xsi:type="dcterms:W3CDTF">2021-06-27T04:52:09Z</dcterms:created>
  <dcterms:modified xsi:type="dcterms:W3CDTF">2022-06-18T04:46:59Z</dcterms:modified>
</cp:coreProperties>
</file>