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128"/>
  <workbookPr codeName="ThisWorkbook"/>
  <mc:AlternateContent xmlns:mc="http://schemas.openxmlformats.org/markup-compatibility/2006">
    <mc:Choice Requires="x15">
      <x15ac:absPath xmlns:x15ac="http://schemas.microsoft.com/office/spreadsheetml/2010/11/ac" url="H:\Docs\Leads\Apartment\"/>
    </mc:Choice>
  </mc:AlternateContent>
  <xr:revisionPtr revIDLastSave="0" documentId="13_ncr:1_{B7C46E57-FDDF-48CF-9A42-8189A0B7F8A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leads" sheetId="1" r:id="rId1"/>
    <sheet name="Distribution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L18" i="3" l="1"/>
  <c r="C25" i="3"/>
  <c r="I20" i="3" l="1"/>
  <c r="E25" i="3" l="1"/>
  <c r="H20" i="3" s="1"/>
</calcChain>
</file>

<file path=xl/sharedStrings.xml><?xml version="1.0" encoding="utf-8"?>
<sst xmlns="http://schemas.openxmlformats.org/spreadsheetml/2006/main" count="224" uniqueCount="151">
  <si>
    <t>full_name</t>
  </si>
  <si>
    <t>phone_number</t>
  </si>
  <si>
    <t>email</t>
  </si>
  <si>
    <t>distribution_no</t>
  </si>
  <si>
    <t>interested_in</t>
  </si>
  <si>
    <t>assigned_to</t>
  </si>
  <si>
    <t>added_by</t>
  </si>
  <si>
    <t>lead_source</t>
  </si>
  <si>
    <t>Facebook Ad</t>
  </si>
  <si>
    <t>Team Name</t>
  </si>
  <si>
    <t>Leads</t>
  </si>
  <si>
    <t>Dulal</t>
  </si>
  <si>
    <t>Zaki</t>
  </si>
  <si>
    <t>Nasir Uddin</t>
  </si>
  <si>
    <t>Habibur Rahman</t>
  </si>
  <si>
    <t>Officer Name</t>
  </si>
  <si>
    <t>Hafizur Rahman</t>
  </si>
  <si>
    <t>Shamim Hawlader</t>
  </si>
  <si>
    <t>Zabedur Rahman</t>
  </si>
  <si>
    <t>Nazmul Huda</t>
  </si>
  <si>
    <t>Abu Yousuf</t>
  </si>
  <si>
    <t>Jahedul Alam</t>
  </si>
  <si>
    <t>Rahmatullah</t>
  </si>
  <si>
    <t>Khokon Islam</t>
  </si>
  <si>
    <t>Sumon</t>
  </si>
  <si>
    <t>MA Sagar</t>
  </si>
  <si>
    <t>Zaki Mahmud</t>
  </si>
  <si>
    <t>Shahinoor Islam</t>
  </si>
  <si>
    <t>Abdul Baten</t>
  </si>
  <si>
    <t>AKM Zabed</t>
  </si>
  <si>
    <t xml:space="preserve">Zabedur </t>
  </si>
  <si>
    <t>Bodruddroza Rushad</t>
  </si>
  <si>
    <t>Habib</t>
  </si>
  <si>
    <t>Abdur Rouf Dulal</t>
  </si>
  <si>
    <t>Sagar</t>
  </si>
  <si>
    <t>ID</t>
  </si>
  <si>
    <t>Mowdud</t>
  </si>
  <si>
    <t>Imran Hossain</t>
  </si>
  <si>
    <t>Salauddin</t>
  </si>
  <si>
    <t>Nazmus Sazzad</t>
  </si>
  <si>
    <t>M Noor Islam</t>
  </si>
  <si>
    <t>noorislamlal@gmail.com</t>
  </si>
  <si>
    <t>+8801714477332</t>
  </si>
  <si>
    <t>Papia Papia Pervin</t>
  </si>
  <si>
    <t>studentayanahmedapon@gmail.com</t>
  </si>
  <si>
    <t>+8801312240298</t>
  </si>
  <si>
    <t>+8801925840234</t>
  </si>
  <si>
    <t>Mohammad Ali</t>
  </si>
  <si>
    <t>Shaheed Islam</t>
  </si>
  <si>
    <t>shaheedulislam33@gmail.com</t>
  </si>
  <si>
    <t>+88001828123434</t>
  </si>
  <si>
    <t>tuhin</t>
  </si>
  <si>
    <t>nmtuhin1989@gmail.com</t>
  </si>
  <si>
    <t>+8801779139701</t>
  </si>
  <si>
    <t>Robi Chowdhury</t>
  </si>
  <si>
    <t>robichaudhari4@gmail.com</t>
  </si>
  <si>
    <t>+8801819831815</t>
  </si>
  <si>
    <t>Md. Elias Hossain Hira</t>
  </si>
  <si>
    <t>niloyelias082@gmail.com</t>
  </si>
  <si>
    <t>+8801611471168</t>
  </si>
  <si>
    <t>Kazi Azmal Hossain</t>
  </si>
  <si>
    <t>bcvoa_bd@yahoo.com</t>
  </si>
  <si>
    <t>+8801711645211</t>
  </si>
  <si>
    <t>Mh Mh Badsha</t>
  </si>
  <si>
    <t>mhbadsha948@gmail.com</t>
  </si>
  <si>
    <t>+01309725817</t>
  </si>
  <si>
    <t>Goutam singha</t>
  </si>
  <si>
    <t>goutamjm@gmail.com</t>
  </si>
  <si>
    <t>Md. Zubair Karim</t>
  </si>
  <si>
    <t>zubairkarimbabu@gmail.com</t>
  </si>
  <si>
    <t>+8801716629155</t>
  </si>
  <si>
    <t>Kashem Rahman</t>
  </si>
  <si>
    <t>rahmankashem23@gmail.com</t>
  </si>
  <si>
    <t>+8801626630337</t>
  </si>
  <si>
    <t>Hamid Hakim</t>
  </si>
  <si>
    <t>hakim2mail@gmailgmail.com</t>
  </si>
  <si>
    <t>+971507212890</t>
  </si>
  <si>
    <t>মোহাম্মাদ সোয়াইব খান</t>
  </si>
  <si>
    <t>md.shoaib.khanarif88888@gmail.com</t>
  </si>
  <si>
    <t>+8801755388888</t>
  </si>
  <si>
    <t>Amkhaled</t>
  </si>
  <si>
    <t>abulasadmdkhaled@gmail.com</t>
  </si>
  <si>
    <t>+8801792832448</t>
  </si>
  <si>
    <t>Santu Kundu</t>
  </si>
  <si>
    <t>santukundu@ymail.com</t>
  </si>
  <si>
    <t>+8801717724950</t>
  </si>
  <si>
    <t>Mahabub Zaman</t>
  </si>
  <si>
    <t>neuton13@gmail.com</t>
  </si>
  <si>
    <t>+8801779222111</t>
  </si>
  <si>
    <t>Saifullah Sayem</t>
  </si>
  <si>
    <t>Sayem2000@gmail.com</t>
  </si>
  <si>
    <t>+8801730782163</t>
  </si>
  <si>
    <t>Kabir H. Khan</t>
  </si>
  <si>
    <t>kabir.fmt@gmail.com</t>
  </si>
  <si>
    <t>+8801719993820</t>
  </si>
  <si>
    <t>Kazi Shipon</t>
  </si>
  <si>
    <t>shiponclassic@gmail.com</t>
  </si>
  <si>
    <t>+8801713039135</t>
  </si>
  <si>
    <t>Nurjahan Amin</t>
  </si>
  <si>
    <t>closetbyurmi@gmail.com</t>
  </si>
  <si>
    <t>+8801713002577</t>
  </si>
  <si>
    <t>A R RASHIDI</t>
  </si>
  <si>
    <t>advisor.bgc@gmail.com</t>
  </si>
  <si>
    <t>+8801708466620</t>
  </si>
  <si>
    <t>Rahima Afroza</t>
  </si>
  <si>
    <t>rahimaafroza18@gmail.com</t>
  </si>
  <si>
    <t>+8801825054952</t>
  </si>
  <si>
    <t>Nanda Dulal Paul</t>
  </si>
  <si>
    <t>nanda.paul@aamra.com.bd</t>
  </si>
  <si>
    <t>+8801712065050</t>
  </si>
  <si>
    <t>Mahbub H Majumder</t>
  </si>
  <si>
    <t>deanfsit@daffodilvarsity.edu.bd</t>
  </si>
  <si>
    <t>+8801713493007</t>
  </si>
  <si>
    <t>মাওলানা হাফেজ আনোয়ার রেজভী</t>
  </si>
  <si>
    <t>anoarrezvi6@gmail.com</t>
  </si>
  <si>
    <t>+8801990371124</t>
  </si>
  <si>
    <t>Amalendu Sarker</t>
  </si>
  <si>
    <t>amalendu.sarker89@gmail.com</t>
  </si>
  <si>
    <t>+8801716729192</t>
  </si>
  <si>
    <t>Ranjan Plus</t>
  </si>
  <si>
    <t>monoranjanpoddar@gmail.com</t>
  </si>
  <si>
    <t>+8801730294524</t>
  </si>
  <si>
    <t>Sultana yasmin</t>
  </si>
  <si>
    <t>sultanamahi20@gmail.com</t>
  </si>
  <si>
    <t>+8801960143731</t>
  </si>
  <si>
    <t>Rupa</t>
  </si>
  <si>
    <t>bijoyemergency@gmail.com</t>
  </si>
  <si>
    <t>+8801968526500</t>
  </si>
  <si>
    <t>Harisur Hiru</t>
  </si>
  <si>
    <t>harisur71@gmail.com</t>
  </si>
  <si>
    <t>+88001818795474</t>
  </si>
  <si>
    <t>Maya Akther</t>
  </si>
  <si>
    <t>zahirchy.nac@gmail.com</t>
  </si>
  <si>
    <t>+8801787600510</t>
  </si>
  <si>
    <t>mohammadalibhuiyan7@gmail.com</t>
  </si>
  <si>
    <t>+8801718526261</t>
  </si>
  <si>
    <t>Tareq Zia</t>
  </si>
  <si>
    <t>ZiaRman@gmail.com</t>
  </si>
  <si>
    <t>airin tithi</t>
  </si>
  <si>
    <t>Tithi3710@gmail.com</t>
  </si>
  <si>
    <t>+8801869673261</t>
  </si>
  <si>
    <t>Mohammad Nannu Mian</t>
  </si>
  <si>
    <t>nannu@ssd-tech.io</t>
  </si>
  <si>
    <t>+8801730357698</t>
  </si>
  <si>
    <t>Lima</t>
  </si>
  <si>
    <t>limaass200@gmail.com</t>
  </si>
  <si>
    <t>+8801708009174</t>
  </si>
  <si>
    <t>Sabuktageen Ahmed Jengi</t>
  </si>
  <si>
    <t>sajtowsif@gmail.com</t>
  </si>
  <si>
    <t>+8801682819536</t>
  </si>
  <si>
    <t>Apatment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</si>
</sst>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name val="Verdana"/>
      <family val="2"/>
    </font>
    <font>
      <b/>
      <sz val="10"/>
      <name val="Verdana"/>
      <family val="2"/>
    </font>
    <font>
      <b/>
      <sz val="10"/>
      <name val="Verdana"/>
      <family val="2"/>
    </font>
    <font>
      <sz val="10"/>
      <name val="Verdana"/>
      <family val="2"/>
    </font>
    <font>
      <sz val="15"/>
      <color theme="0"/>
      <name val="Calibri"/>
      <family val="2"/>
    </font>
    <font>
      <sz val="15"/>
      <color rgb="FF000000"/>
      <name val="Calibri"/>
      <family val="2"/>
    </font>
    <font>
      <b/>
      <sz val="15"/>
      <color rgb="FF000000"/>
      <name val="Calibri"/>
      <family val="2"/>
    </font>
    <font>
      <sz val="15"/>
      <color theme="0"/>
      <name val="Calibri"/>
      <family val="2"/>
      <scheme val="minor"/>
    </font>
    <font>
      <sz val="15"/>
      <color theme="1"/>
      <name val="Calibri"/>
      <family val="2"/>
      <scheme val="minor"/>
    </font>
    <font>
      <sz val="15"/>
      <name val="Calibri"/>
      <family val="2"/>
    </font>
  </fonts>
  <fills count="38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206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9" tint="-0.499984740745262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43">
    <xf numFmtId="0" fontId="0" fillId="0" borderId="0" xfId="0"/>
    <xf numFmtId="0" fontId="0" fillId="0" borderId="0" xfId="0" applyAlignment="1">
      <alignment horizontal="center"/>
    </xf>
    <xf numFmtId="0" fontId="22" fillId="33" borderId="10" xfId="0" applyFont="1" applyFill="1" applyBorder="1" applyAlignment="1">
      <alignment horizontal="center" vertical="center"/>
    </xf>
    <xf numFmtId="0" fontId="22" fillId="33" borderId="10" xfId="0" applyFont="1" applyFill="1" applyBorder="1" applyAlignment="1">
      <alignment horizontal="center" vertical="center" wrapText="1"/>
    </xf>
    <xf numFmtId="0" fontId="0" fillId="0" borderId="0" xfId="0" applyFont="1" applyAlignment="1">
      <alignment vertical="center"/>
    </xf>
    <xf numFmtId="0" fontId="24" fillId="0" borderId="11" xfId="0" applyFont="1" applyBorder="1" applyAlignment="1">
      <alignment horizontal="center"/>
    </xf>
    <xf numFmtId="0" fontId="0" fillId="0" borderId="0" xfId="0" applyFont="1" applyAlignment="1"/>
    <xf numFmtId="0" fontId="0" fillId="0" borderId="0" xfId="0" applyFont="1" applyAlignment="1">
      <alignment horizontal="center"/>
    </xf>
    <xf numFmtId="49" fontId="0" fillId="0" borderId="0" xfId="0" applyNumberFormat="1" applyAlignment="1"/>
    <xf numFmtId="49" fontId="0" fillId="0" borderId="0" xfId="0" applyNumberFormat="1" applyAlignment="1">
      <alignment horizontal="left"/>
    </xf>
    <xf numFmtId="0" fontId="25" fillId="33" borderId="10" xfId="0" applyFont="1" applyFill="1" applyBorder="1" applyAlignment="1">
      <alignment horizontal="center" vertical="center"/>
    </xf>
    <xf numFmtId="0" fontId="24" fillId="0" borderId="10" xfId="0" applyFont="1" applyBorder="1" applyAlignment="1">
      <alignment horizontal="center"/>
    </xf>
    <xf numFmtId="0" fontId="26" fillId="0" borderId="10" xfId="0" applyFont="1" applyBorder="1" applyAlignment="1">
      <alignment horizontal="center"/>
    </xf>
    <xf numFmtId="0" fontId="0" fillId="0" borderId="0" xfId="0" applyFont="1" applyFill="1" applyAlignment="1"/>
    <xf numFmtId="0" fontId="23" fillId="0" borderId="10" xfId="0" applyFont="1" applyFill="1" applyBorder="1" applyAlignment="1">
      <alignment horizontal="center"/>
    </xf>
    <xf numFmtId="49" fontId="0" fillId="0" borderId="0" xfId="0" applyNumberFormat="1" applyAlignment="1">
      <alignment horizontal="center"/>
    </xf>
    <xf numFmtId="0" fontId="23" fillId="34" borderId="12" xfId="0" applyFont="1" applyFill="1" applyBorder="1" applyAlignment="1">
      <alignment horizontal="center"/>
    </xf>
    <xf numFmtId="0" fontId="27" fillId="34" borderId="16" xfId="0" applyFont="1" applyFill="1" applyBorder="1" applyAlignment="1">
      <alignment horizontal="center"/>
    </xf>
    <xf numFmtId="0" fontId="27" fillId="34" borderId="12" xfId="0" applyFont="1" applyFill="1" applyBorder="1" applyAlignment="1">
      <alignment horizontal="center"/>
    </xf>
    <xf numFmtId="0" fontId="23" fillId="35" borderId="12" xfId="0" applyFont="1" applyFill="1" applyBorder="1" applyAlignment="1">
      <alignment horizontal="center"/>
    </xf>
    <xf numFmtId="0" fontId="22" fillId="33" borderId="16" xfId="0" applyFont="1" applyFill="1" applyBorder="1" applyAlignment="1">
      <alignment horizontal="center"/>
    </xf>
    <xf numFmtId="0" fontId="22" fillId="33" borderId="12" xfId="0" applyFont="1" applyFill="1" applyBorder="1" applyAlignment="1">
      <alignment horizontal="center"/>
    </xf>
    <xf numFmtId="0" fontId="23" fillId="34" borderId="16" xfId="0" applyFont="1" applyFill="1" applyBorder="1" applyAlignment="1">
      <alignment horizontal="center"/>
    </xf>
    <xf numFmtId="0" fontId="23" fillId="36" borderId="12" xfId="0" applyFont="1" applyFill="1" applyBorder="1" applyAlignment="1">
      <alignment horizontal="center"/>
    </xf>
    <xf numFmtId="0" fontId="27" fillId="36" borderId="12" xfId="0" applyFont="1" applyFill="1" applyBorder="1" applyAlignment="1">
      <alignment horizontal="center"/>
    </xf>
    <xf numFmtId="0" fontId="23" fillId="37" borderId="12" xfId="0" applyFont="1" applyFill="1" applyBorder="1" applyAlignment="1">
      <alignment horizontal="center"/>
    </xf>
    <xf numFmtId="0" fontId="23" fillId="37" borderId="16" xfId="0" applyFont="1" applyFill="1" applyBorder="1" applyAlignment="1">
      <alignment horizontal="center"/>
    </xf>
    <xf numFmtId="0" fontId="26" fillId="0" borderId="13" xfId="0" applyFont="1" applyFill="1" applyBorder="1" applyAlignment="1">
      <alignment horizontal="center" vertical="center"/>
    </xf>
    <xf numFmtId="0" fontId="26" fillId="0" borderId="14" xfId="0" applyFont="1" applyFill="1" applyBorder="1" applyAlignment="1">
      <alignment horizontal="center" vertical="center"/>
    </xf>
    <xf numFmtId="0" fontId="26" fillId="0" borderId="15" xfId="0" applyFont="1" applyFill="1" applyBorder="1" applyAlignment="1">
      <alignment horizontal="center" vertical="center"/>
    </xf>
    <xf numFmtId="0" fontId="18" fillId="0" borderId="10" xfId="0" applyNumberFormat="1" applyFont="1" applyFill="1" applyBorder="1" applyAlignment="1" applyProtection="1">
      <alignment horizontal="left"/>
    </xf>
    <xf numFmtId="0" fontId="0" fillId="0" borderId="10" xfId="0" applyBorder="1" applyAlignment="1">
      <alignment horizontal="center"/>
    </xf>
    <xf numFmtId="0" fontId="21" fillId="0" borderId="10" xfId="0" applyNumberFormat="1" applyFont="1" applyFill="1" applyBorder="1" applyAlignment="1" applyProtection="1">
      <alignment horizontal="left"/>
    </xf>
    <xf numFmtId="0" fontId="18" fillId="0" borderId="10" xfId="0" applyFont="1" applyBorder="1" applyAlignment="1">
      <alignment horizontal="left"/>
    </xf>
    <xf numFmtId="1" fontId="18" fillId="0" borderId="10" xfId="0" applyNumberFormat="1" applyFont="1" applyBorder="1" applyAlignment="1">
      <alignment horizontal="left"/>
    </xf>
    <xf numFmtId="0" fontId="16" fillId="0" borderId="10" xfId="0" applyFont="1" applyBorder="1" applyAlignment="1">
      <alignment horizontal="center" vertical="center" wrapText="1"/>
    </xf>
    <xf numFmtId="0" fontId="19" fillId="0" borderId="10" xfId="0" applyNumberFormat="1" applyFont="1" applyFill="1" applyBorder="1" applyAlignment="1" applyProtection="1">
      <alignment horizontal="center" vertical="center"/>
    </xf>
    <xf numFmtId="49" fontId="19" fillId="0" borderId="10" xfId="0" applyNumberFormat="1" applyFont="1" applyFill="1" applyBorder="1" applyAlignment="1" applyProtection="1">
      <alignment vertical="center"/>
    </xf>
    <xf numFmtId="49" fontId="19" fillId="0" borderId="10" xfId="0" applyNumberFormat="1" applyFont="1" applyFill="1" applyBorder="1" applyAlignment="1" applyProtection="1">
      <alignment horizontal="left" vertical="center"/>
    </xf>
    <xf numFmtId="0" fontId="19" fillId="0" borderId="10" xfId="0" applyNumberFormat="1" applyFont="1" applyFill="1" applyBorder="1" applyAlignment="1" applyProtection="1">
      <alignment horizontal="left" vertical="center" wrapText="1"/>
    </xf>
    <xf numFmtId="0" fontId="20" fillId="0" borderId="10" xfId="0" applyNumberFormat="1" applyFont="1" applyFill="1" applyBorder="1" applyAlignment="1" applyProtection="1">
      <alignment horizontal="center" vertical="center"/>
    </xf>
    <xf numFmtId="49" fontId="19" fillId="0" borderId="10" xfId="0" applyNumberFormat="1" applyFont="1" applyFill="1" applyBorder="1" applyAlignment="1" applyProtection="1">
      <alignment horizontal="center" vertical="center" wrapText="1"/>
    </xf>
    <xf numFmtId="0" fontId="19" fillId="0" borderId="10" xfId="0" applyNumberFormat="1" applyFont="1" applyFill="1" applyBorder="1" applyAlignment="1" applyProtection="1">
      <alignment horizontal="left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H38"/>
  <sheetViews>
    <sheetView tabSelected="1" workbookViewId="0">
      <selection activeCell="B1" sqref="B1"/>
    </sheetView>
  </sheetViews>
  <sheetFormatPr defaultRowHeight="15" x14ac:dyDescent="0.25"/>
  <cols>
    <col min="1" max="1" width="16.28515625" style="1" customWidth="1"/>
    <col min="2" max="2" width="33" customWidth="1"/>
    <col min="3" max="3" width="33.140625" style="8" customWidth="1"/>
    <col min="4" max="4" width="19.42578125" style="9" customWidth="1"/>
    <col min="5" max="5" width="15.28515625" customWidth="1"/>
    <col min="6" max="6" width="11.5703125" style="1" bestFit="1" customWidth="1"/>
    <col min="7" max="7" width="14.140625" bestFit="1" customWidth="1"/>
    <col min="8" max="8" width="14.140625" style="15" customWidth="1"/>
    <col min="9" max="9" width="11.140625" customWidth="1"/>
    <col min="10" max="10" width="10.5703125" customWidth="1"/>
  </cols>
  <sheetData>
    <row r="1" spans="1:8" ht="30" x14ac:dyDescent="0.25">
      <c r="A1" s="35" t="s">
        <v>3</v>
      </c>
      <c r="B1" s="42" t="s">
        <v>0</v>
      </c>
      <c r="C1" s="37" t="s">
        <v>2</v>
      </c>
      <c r="D1" s="38" t="s">
        <v>1</v>
      </c>
      <c r="E1" s="39" t="s">
        <v>4</v>
      </c>
      <c r="F1" s="36" t="s">
        <v>6</v>
      </c>
      <c r="G1" s="40" t="s">
        <v>7</v>
      </c>
      <c r="H1" s="41" t="s">
        <v>5</v>
      </c>
    </row>
    <row r="2" spans="1:8" ht="19.5" x14ac:dyDescent="0.3">
      <c r="A2" s="31">
        <v>33</v>
      </c>
      <c r="B2" s="33" t="s">
        <v>48</v>
      </c>
      <c r="C2" s="33" t="s">
        <v>49</v>
      </c>
      <c r="D2" s="33" t="s">
        <v>50</v>
      </c>
      <c r="E2" s="30" t="s">
        <v>150</v>
      </c>
      <c r="F2" s="31">
        <v>1</v>
      </c>
      <c r="G2" s="32" t="s">
        <v>8</v>
      </c>
      <c r="H2" s="19">
        <v>8</v>
      </c>
    </row>
    <row r="3" spans="1:8" ht="19.5" x14ac:dyDescent="0.3">
      <c r="A3" s="31">
        <v>33</v>
      </c>
      <c r="B3" s="33" t="s">
        <v>51</v>
      </c>
      <c r="C3" s="33" t="s">
        <v>52</v>
      </c>
      <c r="D3" s="33" t="s">
        <v>53</v>
      </c>
      <c r="E3" s="30" t="s">
        <v>150</v>
      </c>
      <c r="F3" s="31">
        <v>1</v>
      </c>
      <c r="G3" s="32" t="s">
        <v>8</v>
      </c>
      <c r="H3" s="19">
        <v>8</v>
      </c>
    </row>
    <row r="4" spans="1:8" ht="19.5" x14ac:dyDescent="0.3">
      <c r="A4" s="31">
        <v>33</v>
      </c>
      <c r="B4" s="33" t="s">
        <v>54</v>
      </c>
      <c r="C4" s="33" t="s">
        <v>55</v>
      </c>
      <c r="D4" s="33" t="s">
        <v>56</v>
      </c>
      <c r="E4" s="30" t="s">
        <v>150</v>
      </c>
      <c r="F4" s="31">
        <v>1</v>
      </c>
      <c r="G4" s="32" t="s">
        <v>8</v>
      </c>
      <c r="H4" s="19">
        <v>8</v>
      </c>
    </row>
    <row r="5" spans="1:8" ht="19.5" x14ac:dyDescent="0.3">
      <c r="A5" s="31">
        <v>33</v>
      </c>
      <c r="B5" s="33" t="s">
        <v>57</v>
      </c>
      <c r="C5" s="33" t="s">
        <v>58</v>
      </c>
      <c r="D5" s="33" t="s">
        <v>59</v>
      </c>
      <c r="E5" s="30" t="s">
        <v>150</v>
      </c>
      <c r="F5" s="31">
        <v>1</v>
      </c>
      <c r="G5" s="32" t="s">
        <v>8</v>
      </c>
      <c r="H5" s="19">
        <v>8</v>
      </c>
    </row>
    <row r="6" spans="1:8" ht="19.5" x14ac:dyDescent="0.3">
      <c r="A6" s="31">
        <v>33</v>
      </c>
      <c r="B6" s="33" t="s">
        <v>60</v>
      </c>
      <c r="C6" s="33" t="s">
        <v>61</v>
      </c>
      <c r="D6" s="33" t="s">
        <v>62</v>
      </c>
      <c r="E6" s="30" t="s">
        <v>150</v>
      </c>
      <c r="F6" s="31">
        <v>1</v>
      </c>
      <c r="G6" s="32" t="s">
        <v>8</v>
      </c>
      <c r="H6" s="19">
        <v>8</v>
      </c>
    </row>
    <row r="7" spans="1:8" ht="19.5" x14ac:dyDescent="0.3">
      <c r="A7" s="31">
        <v>33</v>
      </c>
      <c r="B7" s="33" t="s">
        <v>63</v>
      </c>
      <c r="C7" s="33" t="s">
        <v>64</v>
      </c>
      <c r="D7" s="33" t="s">
        <v>65</v>
      </c>
      <c r="E7" s="30" t="s">
        <v>150</v>
      </c>
      <c r="F7" s="31">
        <v>1</v>
      </c>
      <c r="G7" s="32" t="s">
        <v>8</v>
      </c>
      <c r="H7" s="19">
        <v>8</v>
      </c>
    </row>
    <row r="8" spans="1:8" ht="19.5" x14ac:dyDescent="0.3">
      <c r="A8" s="31">
        <v>33</v>
      </c>
      <c r="B8" s="33" t="s">
        <v>66</v>
      </c>
      <c r="C8" s="33" t="s">
        <v>67</v>
      </c>
      <c r="D8" s="34">
        <v>1712266318</v>
      </c>
      <c r="E8" s="30" t="s">
        <v>150</v>
      </c>
      <c r="F8" s="31">
        <v>1</v>
      </c>
      <c r="G8" s="32" t="s">
        <v>8</v>
      </c>
      <c r="H8" s="19">
        <v>8</v>
      </c>
    </row>
    <row r="9" spans="1:8" ht="19.5" x14ac:dyDescent="0.3">
      <c r="A9" s="31">
        <v>33</v>
      </c>
      <c r="B9" s="33" t="s">
        <v>68</v>
      </c>
      <c r="C9" s="33" t="s">
        <v>69</v>
      </c>
      <c r="D9" s="33" t="s">
        <v>70</v>
      </c>
      <c r="E9" s="30" t="s">
        <v>150</v>
      </c>
      <c r="F9" s="31">
        <v>1</v>
      </c>
      <c r="G9" s="32" t="s">
        <v>8</v>
      </c>
      <c r="H9" s="19">
        <v>8</v>
      </c>
    </row>
    <row r="10" spans="1:8" ht="19.5" x14ac:dyDescent="0.3">
      <c r="A10" s="31">
        <v>33</v>
      </c>
      <c r="B10" s="33" t="s">
        <v>71</v>
      </c>
      <c r="C10" s="33" t="s">
        <v>72</v>
      </c>
      <c r="D10" s="33" t="s">
        <v>73</v>
      </c>
      <c r="E10" s="30" t="s">
        <v>150</v>
      </c>
      <c r="F10" s="31">
        <v>1</v>
      </c>
      <c r="G10" s="32" t="s">
        <v>8</v>
      </c>
      <c r="H10" s="19">
        <v>8</v>
      </c>
    </row>
    <row r="11" spans="1:8" ht="19.5" x14ac:dyDescent="0.3">
      <c r="A11" s="31">
        <v>33</v>
      </c>
      <c r="B11" s="33" t="s">
        <v>74</v>
      </c>
      <c r="C11" s="33" t="s">
        <v>75</v>
      </c>
      <c r="D11" s="33" t="s">
        <v>76</v>
      </c>
      <c r="E11" s="30" t="s">
        <v>150</v>
      </c>
      <c r="F11" s="31">
        <v>1</v>
      </c>
      <c r="G11" s="32" t="s">
        <v>8</v>
      </c>
      <c r="H11" s="19">
        <v>8</v>
      </c>
    </row>
    <row r="12" spans="1:8" ht="19.5" x14ac:dyDescent="0.3">
      <c r="A12" s="31">
        <v>33</v>
      </c>
      <c r="B12" s="33" t="s">
        <v>40</v>
      </c>
      <c r="C12" s="33" t="s">
        <v>41</v>
      </c>
      <c r="D12" s="33" t="s">
        <v>42</v>
      </c>
      <c r="E12" s="30" t="s">
        <v>150</v>
      </c>
      <c r="F12" s="31">
        <v>1</v>
      </c>
      <c r="G12" s="32" t="s">
        <v>8</v>
      </c>
      <c r="H12" s="19">
        <v>8</v>
      </c>
    </row>
    <row r="13" spans="1:8" ht="19.5" x14ac:dyDescent="0.3">
      <c r="A13" s="31">
        <v>33</v>
      </c>
      <c r="B13" s="33" t="s">
        <v>77</v>
      </c>
      <c r="C13" s="33" t="s">
        <v>78</v>
      </c>
      <c r="D13" s="33" t="s">
        <v>79</v>
      </c>
      <c r="E13" s="30" t="s">
        <v>150</v>
      </c>
      <c r="F13" s="31">
        <v>1</v>
      </c>
      <c r="G13" s="32" t="s">
        <v>8</v>
      </c>
      <c r="H13" s="19">
        <v>8</v>
      </c>
    </row>
    <row r="14" spans="1:8" ht="19.5" x14ac:dyDescent="0.3">
      <c r="A14" s="31">
        <v>33</v>
      </c>
      <c r="B14" s="33" t="s">
        <v>80</v>
      </c>
      <c r="C14" s="33" t="s">
        <v>81</v>
      </c>
      <c r="D14" s="33" t="s">
        <v>82</v>
      </c>
      <c r="E14" s="30" t="s">
        <v>150</v>
      </c>
      <c r="F14" s="31">
        <v>1</v>
      </c>
      <c r="G14" s="32" t="s">
        <v>8</v>
      </c>
      <c r="H14" s="19">
        <v>8</v>
      </c>
    </row>
    <row r="15" spans="1:8" ht="19.5" x14ac:dyDescent="0.3">
      <c r="A15" s="31">
        <v>33</v>
      </c>
      <c r="B15" s="33" t="s">
        <v>83</v>
      </c>
      <c r="C15" s="33" t="s">
        <v>84</v>
      </c>
      <c r="D15" s="33" t="s">
        <v>85</v>
      </c>
      <c r="E15" s="30" t="s">
        <v>150</v>
      </c>
      <c r="F15" s="31">
        <v>1</v>
      </c>
      <c r="G15" s="32" t="s">
        <v>8</v>
      </c>
      <c r="H15" s="19">
        <v>8</v>
      </c>
    </row>
    <row r="16" spans="1:8" ht="19.5" x14ac:dyDescent="0.3">
      <c r="A16" s="31">
        <v>33</v>
      </c>
      <c r="B16" s="33" t="s">
        <v>86</v>
      </c>
      <c r="C16" s="33" t="s">
        <v>87</v>
      </c>
      <c r="D16" s="33" t="s">
        <v>88</v>
      </c>
      <c r="E16" s="30" t="s">
        <v>150</v>
      </c>
      <c r="F16" s="31">
        <v>1</v>
      </c>
      <c r="G16" s="32" t="s">
        <v>8</v>
      </c>
      <c r="H16" s="19">
        <v>8</v>
      </c>
    </row>
    <row r="17" spans="1:8" ht="19.5" x14ac:dyDescent="0.3">
      <c r="A17" s="31">
        <v>33</v>
      </c>
      <c r="B17" s="33" t="s">
        <v>89</v>
      </c>
      <c r="C17" s="33" t="s">
        <v>90</v>
      </c>
      <c r="D17" s="33" t="s">
        <v>91</v>
      </c>
      <c r="E17" s="30" t="s">
        <v>150</v>
      </c>
      <c r="F17" s="31">
        <v>1</v>
      </c>
      <c r="G17" s="32" t="s">
        <v>8</v>
      </c>
      <c r="H17" s="19">
        <v>8</v>
      </c>
    </row>
    <row r="18" spans="1:8" ht="19.5" x14ac:dyDescent="0.3">
      <c r="A18" s="31">
        <v>33</v>
      </c>
      <c r="B18" s="33" t="s">
        <v>92</v>
      </c>
      <c r="C18" s="33" t="s">
        <v>93</v>
      </c>
      <c r="D18" s="33" t="s">
        <v>94</v>
      </c>
      <c r="E18" s="30" t="s">
        <v>150</v>
      </c>
      <c r="F18" s="31">
        <v>1</v>
      </c>
      <c r="G18" s="32" t="s">
        <v>8</v>
      </c>
      <c r="H18" s="19">
        <v>8</v>
      </c>
    </row>
    <row r="19" spans="1:8" ht="19.5" x14ac:dyDescent="0.3">
      <c r="A19" s="31">
        <v>33</v>
      </c>
      <c r="B19" s="33" t="s">
        <v>95</v>
      </c>
      <c r="C19" s="33" t="s">
        <v>96</v>
      </c>
      <c r="D19" s="33" t="s">
        <v>97</v>
      </c>
      <c r="E19" s="30" t="s">
        <v>150</v>
      </c>
      <c r="F19" s="31">
        <v>1</v>
      </c>
      <c r="G19" s="32" t="s">
        <v>8</v>
      </c>
      <c r="H19" s="19">
        <v>8</v>
      </c>
    </row>
    <row r="20" spans="1:8" ht="19.5" x14ac:dyDescent="0.3">
      <c r="A20" s="31">
        <v>33</v>
      </c>
      <c r="B20" s="33" t="s">
        <v>98</v>
      </c>
      <c r="C20" s="33" t="s">
        <v>99</v>
      </c>
      <c r="D20" s="33" t="s">
        <v>100</v>
      </c>
      <c r="E20" s="30" t="s">
        <v>150</v>
      </c>
      <c r="F20" s="31">
        <v>1</v>
      </c>
      <c r="G20" s="32" t="s">
        <v>8</v>
      </c>
      <c r="H20" s="19">
        <v>8</v>
      </c>
    </row>
    <row r="21" spans="1:8" ht="19.5" x14ac:dyDescent="0.3">
      <c r="A21" s="31">
        <v>33</v>
      </c>
      <c r="B21" s="33" t="s">
        <v>101</v>
      </c>
      <c r="C21" s="33" t="s">
        <v>102</v>
      </c>
      <c r="D21" s="33" t="s">
        <v>103</v>
      </c>
      <c r="E21" s="30" t="s">
        <v>150</v>
      </c>
      <c r="F21" s="31">
        <v>1</v>
      </c>
      <c r="G21" s="32" t="s">
        <v>8</v>
      </c>
      <c r="H21" s="19">
        <v>11</v>
      </c>
    </row>
    <row r="22" spans="1:8" ht="19.5" x14ac:dyDescent="0.3">
      <c r="A22" s="31">
        <v>33</v>
      </c>
      <c r="B22" s="33" t="s">
        <v>104</v>
      </c>
      <c r="C22" s="33" t="s">
        <v>105</v>
      </c>
      <c r="D22" s="33" t="s">
        <v>106</v>
      </c>
      <c r="E22" s="30" t="s">
        <v>150</v>
      </c>
      <c r="F22" s="31">
        <v>1</v>
      </c>
      <c r="G22" s="32" t="s">
        <v>8</v>
      </c>
      <c r="H22" s="19">
        <v>11</v>
      </c>
    </row>
    <row r="23" spans="1:8" ht="19.5" x14ac:dyDescent="0.3">
      <c r="A23" s="31">
        <v>33</v>
      </c>
      <c r="B23" s="33" t="s">
        <v>43</v>
      </c>
      <c r="C23" s="33" t="s">
        <v>44</v>
      </c>
      <c r="D23" s="33" t="s">
        <v>45</v>
      </c>
      <c r="E23" s="30" t="s">
        <v>150</v>
      </c>
      <c r="F23" s="31">
        <v>1</v>
      </c>
      <c r="G23" s="32" t="s">
        <v>8</v>
      </c>
      <c r="H23" s="19">
        <v>11</v>
      </c>
    </row>
    <row r="24" spans="1:8" ht="19.5" x14ac:dyDescent="0.3">
      <c r="A24" s="31">
        <v>33</v>
      </c>
      <c r="B24" s="33" t="s">
        <v>107</v>
      </c>
      <c r="C24" s="33" t="s">
        <v>108</v>
      </c>
      <c r="D24" s="33" t="s">
        <v>109</v>
      </c>
      <c r="E24" s="30" t="s">
        <v>150</v>
      </c>
      <c r="F24" s="31">
        <v>1</v>
      </c>
      <c r="G24" s="32" t="s">
        <v>8</v>
      </c>
      <c r="H24" s="19">
        <v>11</v>
      </c>
    </row>
    <row r="25" spans="1:8" ht="19.5" x14ac:dyDescent="0.3">
      <c r="A25" s="31">
        <v>33</v>
      </c>
      <c r="B25" s="33" t="s">
        <v>110</v>
      </c>
      <c r="C25" s="33" t="s">
        <v>111</v>
      </c>
      <c r="D25" s="33" t="s">
        <v>112</v>
      </c>
      <c r="E25" s="30" t="s">
        <v>150</v>
      </c>
      <c r="F25" s="31">
        <v>1</v>
      </c>
      <c r="G25" s="32" t="s">
        <v>8</v>
      </c>
      <c r="H25" s="19">
        <v>11</v>
      </c>
    </row>
    <row r="26" spans="1:8" ht="19.5" x14ac:dyDescent="0.3">
      <c r="A26" s="31">
        <v>33</v>
      </c>
      <c r="B26" s="33" t="s">
        <v>113</v>
      </c>
      <c r="C26" s="33" t="s">
        <v>114</v>
      </c>
      <c r="D26" s="33" t="s">
        <v>115</v>
      </c>
      <c r="E26" s="30" t="s">
        <v>150</v>
      </c>
      <c r="F26" s="31">
        <v>1</v>
      </c>
      <c r="G26" s="32" t="s">
        <v>8</v>
      </c>
      <c r="H26" s="19">
        <v>11</v>
      </c>
    </row>
    <row r="27" spans="1:8" ht="19.5" x14ac:dyDescent="0.3">
      <c r="A27" s="31">
        <v>33</v>
      </c>
      <c r="B27" s="33" t="s">
        <v>116</v>
      </c>
      <c r="C27" s="33" t="s">
        <v>117</v>
      </c>
      <c r="D27" s="33" t="s">
        <v>118</v>
      </c>
      <c r="E27" s="30" t="s">
        <v>150</v>
      </c>
      <c r="F27" s="31">
        <v>1</v>
      </c>
      <c r="G27" s="32" t="s">
        <v>8</v>
      </c>
      <c r="H27" s="19">
        <v>11</v>
      </c>
    </row>
    <row r="28" spans="1:8" ht="19.5" x14ac:dyDescent="0.3">
      <c r="A28" s="31">
        <v>33</v>
      </c>
      <c r="B28" s="33" t="s">
        <v>119</v>
      </c>
      <c r="C28" s="33" t="s">
        <v>120</v>
      </c>
      <c r="D28" s="33" t="s">
        <v>121</v>
      </c>
      <c r="E28" s="30" t="s">
        <v>150</v>
      </c>
      <c r="F28" s="31">
        <v>1</v>
      </c>
      <c r="G28" s="32" t="s">
        <v>8</v>
      </c>
      <c r="H28" s="19">
        <v>11</v>
      </c>
    </row>
    <row r="29" spans="1:8" ht="19.5" x14ac:dyDescent="0.3">
      <c r="A29" s="31">
        <v>33</v>
      </c>
      <c r="B29" s="33" t="s">
        <v>122</v>
      </c>
      <c r="C29" s="33" t="s">
        <v>123</v>
      </c>
      <c r="D29" s="33" t="s">
        <v>124</v>
      </c>
      <c r="E29" s="30" t="s">
        <v>150</v>
      </c>
      <c r="F29" s="31">
        <v>1</v>
      </c>
      <c r="G29" s="32" t="s">
        <v>8</v>
      </c>
      <c r="H29" s="19">
        <v>11</v>
      </c>
    </row>
    <row r="30" spans="1:8" ht="19.5" x14ac:dyDescent="0.3">
      <c r="A30" s="31">
        <v>33</v>
      </c>
      <c r="B30" s="33" t="s">
        <v>125</v>
      </c>
      <c r="C30" s="33" t="s">
        <v>126</v>
      </c>
      <c r="D30" s="33" t="s">
        <v>127</v>
      </c>
      <c r="E30" s="30" t="s">
        <v>150</v>
      </c>
      <c r="F30" s="31">
        <v>1</v>
      </c>
      <c r="G30" s="32" t="s">
        <v>8</v>
      </c>
      <c r="H30" s="19">
        <v>11</v>
      </c>
    </row>
    <row r="31" spans="1:8" ht="19.5" x14ac:dyDescent="0.3">
      <c r="A31" s="31">
        <v>33</v>
      </c>
      <c r="B31" s="33" t="s">
        <v>128</v>
      </c>
      <c r="C31" s="33" t="s">
        <v>129</v>
      </c>
      <c r="D31" s="33" t="s">
        <v>130</v>
      </c>
      <c r="E31" s="30" t="s">
        <v>150</v>
      </c>
      <c r="F31" s="31">
        <v>1</v>
      </c>
      <c r="G31" s="32" t="s">
        <v>8</v>
      </c>
      <c r="H31" s="19">
        <v>11</v>
      </c>
    </row>
    <row r="32" spans="1:8" ht="19.5" x14ac:dyDescent="0.3">
      <c r="A32" s="31">
        <v>33</v>
      </c>
      <c r="B32" s="33" t="s">
        <v>131</v>
      </c>
      <c r="C32" s="33" t="s">
        <v>132</v>
      </c>
      <c r="D32" s="33" t="s">
        <v>133</v>
      </c>
      <c r="E32" s="30" t="s">
        <v>150</v>
      </c>
      <c r="F32" s="31">
        <v>1</v>
      </c>
      <c r="G32" s="32" t="s">
        <v>8</v>
      </c>
      <c r="H32" s="19">
        <v>11</v>
      </c>
    </row>
    <row r="33" spans="1:8" ht="19.5" x14ac:dyDescent="0.3">
      <c r="A33" s="31">
        <v>33</v>
      </c>
      <c r="B33" s="33" t="s">
        <v>47</v>
      </c>
      <c r="C33" s="33" t="s">
        <v>134</v>
      </c>
      <c r="D33" s="33" t="s">
        <v>135</v>
      </c>
      <c r="E33" s="30" t="s">
        <v>150</v>
      </c>
      <c r="F33" s="31">
        <v>1</v>
      </c>
      <c r="G33" s="32" t="s">
        <v>8</v>
      </c>
      <c r="H33" s="19">
        <v>11</v>
      </c>
    </row>
    <row r="34" spans="1:8" ht="19.5" x14ac:dyDescent="0.3">
      <c r="A34" s="31">
        <v>33</v>
      </c>
      <c r="B34" s="33" t="s">
        <v>136</v>
      </c>
      <c r="C34" s="33" t="s">
        <v>137</v>
      </c>
      <c r="D34" s="33" t="s">
        <v>46</v>
      </c>
      <c r="E34" s="30" t="s">
        <v>150</v>
      </c>
      <c r="F34" s="31">
        <v>1</v>
      </c>
      <c r="G34" s="32" t="s">
        <v>8</v>
      </c>
      <c r="H34" s="19">
        <v>11</v>
      </c>
    </row>
    <row r="35" spans="1:8" ht="19.5" x14ac:dyDescent="0.3">
      <c r="A35" s="31">
        <v>33</v>
      </c>
      <c r="B35" s="33" t="s">
        <v>138</v>
      </c>
      <c r="C35" s="33" t="s">
        <v>139</v>
      </c>
      <c r="D35" s="33" t="s">
        <v>140</v>
      </c>
      <c r="E35" s="30" t="s">
        <v>150</v>
      </c>
      <c r="F35" s="31">
        <v>1</v>
      </c>
      <c r="G35" s="32" t="s">
        <v>8</v>
      </c>
      <c r="H35" s="19">
        <v>11</v>
      </c>
    </row>
    <row r="36" spans="1:8" ht="19.5" x14ac:dyDescent="0.3">
      <c r="A36" s="31">
        <v>33</v>
      </c>
      <c r="B36" s="33" t="s">
        <v>141</v>
      </c>
      <c r="C36" s="33" t="s">
        <v>142</v>
      </c>
      <c r="D36" s="33" t="s">
        <v>143</v>
      </c>
      <c r="E36" s="30" t="s">
        <v>150</v>
      </c>
      <c r="F36" s="31">
        <v>1</v>
      </c>
      <c r="G36" s="32" t="s">
        <v>8</v>
      </c>
      <c r="H36" s="19">
        <v>11</v>
      </c>
    </row>
    <row r="37" spans="1:8" ht="19.5" x14ac:dyDescent="0.3">
      <c r="A37" s="31">
        <v>33</v>
      </c>
      <c r="B37" s="33" t="s">
        <v>144</v>
      </c>
      <c r="C37" s="33" t="s">
        <v>145</v>
      </c>
      <c r="D37" s="33" t="s">
        <v>146</v>
      </c>
      <c r="E37" s="30" t="s">
        <v>150</v>
      </c>
      <c r="F37" s="31">
        <v>1</v>
      </c>
      <c r="G37" s="32" t="s">
        <v>8</v>
      </c>
      <c r="H37" s="19">
        <v>11</v>
      </c>
    </row>
    <row r="38" spans="1:8" ht="19.5" x14ac:dyDescent="0.3">
      <c r="A38" s="31">
        <v>33</v>
      </c>
      <c r="B38" s="33" t="s">
        <v>147</v>
      </c>
      <c r="C38" s="33" t="s">
        <v>148</v>
      </c>
      <c r="D38" s="33" t="s">
        <v>149</v>
      </c>
      <c r="E38" s="30" t="s">
        <v>150</v>
      </c>
      <c r="F38" s="31">
        <v>1</v>
      </c>
      <c r="G38" s="32" t="s">
        <v>8</v>
      </c>
      <c r="H38" s="19">
        <v>11</v>
      </c>
    </row>
  </sheetData>
  <conditionalFormatting sqref="H2:H38">
    <cfRule type="duplicateValues" dxfId="1" priority="1067"/>
  </conditionalFormatting>
  <conditionalFormatting sqref="A1:I1 A2:A38 E2:G38">
    <cfRule type="duplicateValues" dxfId="0" priority="1068"/>
  </conditionalFormatting>
  <pageMargins left="0.75" right="0.75" top="1" bottom="1" header="0.5" footer="0.5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B2:L25"/>
  <sheetViews>
    <sheetView workbookViewId="0">
      <selection activeCell="D21" sqref="D21"/>
    </sheetView>
  </sheetViews>
  <sheetFormatPr defaultRowHeight="15" x14ac:dyDescent="0.25"/>
  <cols>
    <col min="1" max="1" width="3.85546875" style="6" customWidth="1"/>
    <col min="2" max="2" width="18" style="7" customWidth="1"/>
    <col min="3" max="3" width="29.28515625" style="7" customWidth="1"/>
    <col min="4" max="4" width="5.7109375" style="7" customWidth="1"/>
    <col min="5" max="5" width="17.5703125" style="7" customWidth="1"/>
    <col min="6" max="6" width="4.140625" style="6" customWidth="1"/>
    <col min="7" max="16384" width="9.140625" style="6"/>
  </cols>
  <sheetData>
    <row r="2" spans="2:5" s="4" customFormat="1" ht="19.5" x14ac:dyDescent="0.25">
      <c r="B2" s="10" t="s">
        <v>9</v>
      </c>
      <c r="C2" s="2" t="s">
        <v>15</v>
      </c>
      <c r="D2" s="2" t="s">
        <v>35</v>
      </c>
      <c r="E2" s="3" t="s">
        <v>10</v>
      </c>
    </row>
    <row r="3" spans="2:5" s="13" customFormat="1" ht="19.5" x14ac:dyDescent="0.3">
      <c r="B3" s="27" t="s">
        <v>30</v>
      </c>
      <c r="C3" s="14" t="s">
        <v>18</v>
      </c>
      <c r="D3" s="19">
        <v>4</v>
      </c>
      <c r="E3" s="19">
        <v>150</v>
      </c>
    </row>
    <row r="4" spans="2:5" s="13" customFormat="1" ht="19.5" x14ac:dyDescent="0.3">
      <c r="B4" s="28"/>
      <c r="C4" s="14" t="s">
        <v>31</v>
      </c>
      <c r="D4" s="23">
        <v>20</v>
      </c>
      <c r="E4" s="23">
        <v>70</v>
      </c>
    </row>
    <row r="5" spans="2:5" s="13" customFormat="1" ht="19.5" x14ac:dyDescent="0.3">
      <c r="B5" s="28"/>
      <c r="C5" s="14" t="s">
        <v>22</v>
      </c>
      <c r="D5" s="25">
        <v>21</v>
      </c>
      <c r="E5" s="25">
        <v>65</v>
      </c>
    </row>
    <row r="6" spans="2:5" s="13" customFormat="1" ht="19.5" x14ac:dyDescent="0.3">
      <c r="B6" s="28"/>
      <c r="C6" s="14" t="s">
        <v>38</v>
      </c>
      <c r="D6" s="23">
        <v>37</v>
      </c>
      <c r="E6" s="23">
        <v>70</v>
      </c>
    </row>
    <row r="7" spans="2:5" s="13" customFormat="1" ht="19.5" x14ac:dyDescent="0.3">
      <c r="B7" s="29"/>
      <c r="C7" s="14" t="s">
        <v>16</v>
      </c>
      <c r="D7" s="23">
        <v>19</v>
      </c>
      <c r="E7" s="23">
        <v>70</v>
      </c>
    </row>
    <row r="8" spans="2:5" s="13" customFormat="1" ht="19.5" x14ac:dyDescent="0.3">
      <c r="B8" s="27" t="s">
        <v>32</v>
      </c>
      <c r="C8" s="14" t="s">
        <v>17</v>
      </c>
      <c r="D8" s="19">
        <v>13</v>
      </c>
      <c r="E8" s="19">
        <v>150</v>
      </c>
    </row>
    <row r="9" spans="2:5" s="13" customFormat="1" ht="19.5" x14ac:dyDescent="0.3">
      <c r="B9" s="28"/>
      <c r="C9" s="14" t="s">
        <v>23</v>
      </c>
      <c r="D9" s="24">
        <v>33</v>
      </c>
      <c r="E9" s="23">
        <v>70</v>
      </c>
    </row>
    <row r="10" spans="2:5" s="13" customFormat="1" ht="19.5" x14ac:dyDescent="0.3">
      <c r="B10" s="28"/>
      <c r="C10" s="14" t="s">
        <v>28</v>
      </c>
      <c r="D10" s="16">
        <v>31</v>
      </c>
      <c r="E10" s="16">
        <v>104</v>
      </c>
    </row>
    <row r="11" spans="2:5" s="13" customFormat="1" ht="19.5" x14ac:dyDescent="0.3">
      <c r="B11" s="28"/>
      <c r="C11" s="14" t="s">
        <v>37</v>
      </c>
      <c r="D11" s="22">
        <v>38</v>
      </c>
      <c r="E11" s="16">
        <v>104</v>
      </c>
    </row>
    <row r="12" spans="2:5" s="13" customFormat="1" ht="19.5" x14ac:dyDescent="0.3">
      <c r="B12" s="28"/>
      <c r="C12" s="14" t="s">
        <v>39</v>
      </c>
      <c r="D12" s="26">
        <v>41</v>
      </c>
      <c r="E12" s="25">
        <v>65</v>
      </c>
    </row>
    <row r="13" spans="2:5" s="13" customFormat="1" ht="19.5" x14ac:dyDescent="0.3">
      <c r="B13" s="29"/>
      <c r="C13" s="14" t="s">
        <v>14</v>
      </c>
      <c r="D13" s="20">
        <v>12</v>
      </c>
      <c r="E13" s="21">
        <v>154</v>
      </c>
    </row>
    <row r="14" spans="2:5" s="13" customFormat="1" ht="19.5" x14ac:dyDescent="0.3">
      <c r="B14" s="27" t="s">
        <v>11</v>
      </c>
      <c r="C14" s="14" t="s">
        <v>13</v>
      </c>
      <c r="D14" s="25">
        <v>7</v>
      </c>
      <c r="E14" s="25">
        <v>65</v>
      </c>
    </row>
    <row r="15" spans="2:5" s="13" customFormat="1" ht="19.5" x14ac:dyDescent="0.3">
      <c r="B15" s="28"/>
      <c r="C15" s="14" t="s">
        <v>27</v>
      </c>
      <c r="D15" s="25">
        <v>25</v>
      </c>
      <c r="E15" s="25">
        <v>65</v>
      </c>
    </row>
    <row r="16" spans="2:5" s="13" customFormat="1" ht="19.5" x14ac:dyDescent="0.3">
      <c r="B16" s="29"/>
      <c r="C16" s="14" t="s">
        <v>33</v>
      </c>
      <c r="D16" s="17">
        <v>5</v>
      </c>
      <c r="E16" s="18">
        <v>104</v>
      </c>
    </row>
    <row r="17" spans="2:12" s="13" customFormat="1" ht="19.5" x14ac:dyDescent="0.3">
      <c r="B17" s="28" t="s">
        <v>19</v>
      </c>
      <c r="C17" s="14" t="s">
        <v>19</v>
      </c>
      <c r="D17" s="25">
        <v>9</v>
      </c>
      <c r="E17" s="25">
        <v>65</v>
      </c>
    </row>
    <row r="18" spans="2:12" s="13" customFormat="1" ht="19.5" x14ac:dyDescent="0.3">
      <c r="B18" s="28"/>
      <c r="C18" s="14" t="s">
        <v>20</v>
      </c>
      <c r="D18" s="25">
        <v>6</v>
      </c>
      <c r="E18" s="25">
        <v>65</v>
      </c>
      <c r="L18" s="13">
        <f>65*3</f>
        <v>195</v>
      </c>
    </row>
    <row r="19" spans="2:12" s="13" customFormat="1" ht="19.5" x14ac:dyDescent="0.3">
      <c r="B19" s="27" t="s">
        <v>34</v>
      </c>
      <c r="C19" s="14" t="s">
        <v>25</v>
      </c>
      <c r="D19" s="19">
        <v>8</v>
      </c>
      <c r="E19" s="19">
        <v>150</v>
      </c>
    </row>
    <row r="20" spans="2:12" s="13" customFormat="1" ht="19.5" x14ac:dyDescent="0.3">
      <c r="B20" s="28"/>
      <c r="C20" s="14" t="s">
        <v>24</v>
      </c>
      <c r="D20" s="25">
        <v>34</v>
      </c>
      <c r="E20" s="25">
        <v>65</v>
      </c>
      <c r="H20" s="13">
        <f>2074-E25</f>
        <v>0</v>
      </c>
      <c r="I20" s="13">
        <f>353/23</f>
        <v>15.347826086956522</v>
      </c>
    </row>
    <row r="21" spans="2:12" s="13" customFormat="1" ht="19.5" x14ac:dyDescent="0.3">
      <c r="B21" s="29"/>
      <c r="C21" s="14" t="s">
        <v>21</v>
      </c>
      <c r="D21" s="16">
        <v>11</v>
      </c>
      <c r="E21" s="16">
        <v>104</v>
      </c>
    </row>
    <row r="22" spans="2:12" s="13" customFormat="1" ht="19.5" x14ac:dyDescent="0.3">
      <c r="B22" s="27" t="s">
        <v>12</v>
      </c>
      <c r="C22" s="14" t="s">
        <v>26</v>
      </c>
      <c r="D22" s="16">
        <v>10</v>
      </c>
      <c r="E22" s="16">
        <v>104</v>
      </c>
    </row>
    <row r="23" spans="2:12" s="13" customFormat="1" ht="19.5" x14ac:dyDescent="0.3">
      <c r="B23" s="28"/>
      <c r="C23" s="14" t="s">
        <v>36</v>
      </c>
      <c r="D23" s="25">
        <v>36</v>
      </c>
      <c r="E23" s="25">
        <v>65</v>
      </c>
    </row>
    <row r="24" spans="2:12" s="13" customFormat="1" ht="19.5" x14ac:dyDescent="0.3">
      <c r="B24" s="29"/>
      <c r="C24" s="14" t="s">
        <v>29</v>
      </c>
      <c r="D24" s="19">
        <v>24</v>
      </c>
      <c r="E24" s="19">
        <v>150</v>
      </c>
    </row>
    <row r="25" spans="2:12" ht="19.5" x14ac:dyDescent="0.3">
      <c r="B25" s="12"/>
      <c r="C25" s="5">
        <f>COUNTA(C3:C24)</f>
        <v>22</v>
      </c>
      <c r="D25" s="5"/>
      <c r="E25" s="11">
        <f>SUM(E3:E24)</f>
        <v>2074</v>
      </c>
    </row>
  </sheetData>
  <mergeCells count="6">
    <mergeCell ref="B19:B21"/>
    <mergeCell ref="B22:B24"/>
    <mergeCell ref="B3:B7"/>
    <mergeCell ref="B8:B13"/>
    <mergeCell ref="B14:B16"/>
    <mergeCell ref="B17:B18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leads</vt:lpstr>
      <vt:lpstr>Distribution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RICHMOND-DESIGN</dc:creator>
  <cp:lastModifiedBy>Moksedul-IT</cp:lastModifiedBy>
  <dcterms:created xsi:type="dcterms:W3CDTF">2021-06-27T04:52:09Z</dcterms:created>
  <dcterms:modified xsi:type="dcterms:W3CDTF">2022-05-14T11:32:55Z</dcterms:modified>
</cp:coreProperties>
</file>